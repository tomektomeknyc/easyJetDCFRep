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aszosuchowski/Downloads/easyJetDCF-advanced-main/attached_assets/"/>
    </mc:Choice>
  </mc:AlternateContent>
  <xr:revisionPtr revIDLastSave="0" documentId="13_ncr:1_{7FBC79FB-165B-5745-A18C-F96194CD4C1F}" xr6:coauthVersionLast="47" xr6:coauthVersionMax="47" xr10:uidLastSave="{00000000-0000-0000-0000-000000000000}"/>
  <bookViews>
    <workbookView xWindow="0" yWindow="500" windowWidth="25600" windowHeight="14320" activeTab="1" xr2:uid="{416D42DD-EA14-4E00-BE61-03499E39D4E6}"/>
  </bookViews>
  <sheets>
    <sheet name="EZJ" sheetId="1" r:id="rId1"/>
    <sheet name="DCF" sheetId="2" r:id="rId2"/>
    <sheet name="Graphs" sheetId="8" r:id="rId3"/>
    <sheet name="WACC" sheetId="3" r:id="rId4"/>
    <sheet name="Public_Comps" sheetId="4" r:id="rId5"/>
    <sheet name="MA_Comps" sheetId="5" r:id="rId6"/>
    <sheet name="ValSum" sheetId="6" r:id="rId7"/>
    <sheet name="ValGraph" sheetId="7" r:id="rId8"/>
  </sheets>
  <definedNames>
    <definedName name="_">EZJ!$X$91</definedName>
    <definedName name="Company_Name">EZJ!$E$7</definedName>
    <definedName name="Cost_of_Debt">WACC!$F$8</definedName>
    <definedName name="Cost_of_Preferred">WACC!$F$9</definedName>
    <definedName name="Diluted_Shares">DCF!$E$15</definedName>
    <definedName name="Discount_Rate">DCF!$E$17</definedName>
    <definedName name="Equity_Risk_Premium">WACC!$F$7</definedName>
    <definedName name="Hist_Year">DCF!$K$7</definedName>
    <definedName name="Max_Debt_EBITDAR">EZJ!$E$13</definedName>
    <definedName name="Max_Debt_Total_Cap">EZJ!$E$18</definedName>
    <definedName name="Next_Year">DCF!$K$8</definedName>
    <definedName name="Pct_Debt_Funding">EZJ!$E$10</definedName>
    <definedName name="_xlnm.Print_Area" localSheetId="1">DCF!$A$1:$R$174</definedName>
    <definedName name="_xlnm.Print_Area" localSheetId="0">EZJ!$A$1:$AB$253</definedName>
    <definedName name="_xlnm.Print_Area" localSheetId="2">Graphs!$A$1:$N$53</definedName>
    <definedName name="_xlnm.Print_Area" localSheetId="5">MA_Comps!$A$1:$K$24</definedName>
    <definedName name="_xlnm.Print_Area" localSheetId="4">Public_Comps!$A$1:$AC$43</definedName>
    <definedName name="_xlnm.Print_Area" localSheetId="7">ValGraph!$A$1:$V$31</definedName>
    <definedName name="_xlnm.Print_Area" localSheetId="6">ValSum!$A$1:$N$44</definedName>
    <definedName name="_xlnm.Print_Area" localSheetId="3">WACC!$A$1:$M$42</definedName>
    <definedName name="Pub_Comps_Data">Public_Comps!$B$8:$AA$23</definedName>
    <definedName name="Pub_Comps_Info_Range">Public_Comps!$B$8:$AA$8</definedName>
    <definedName name="Risk_Free_Rate">WACC!$F$6</definedName>
    <definedName name="Scenario">DCF!$E$8</definedName>
    <definedName name="Share_Price">DCF!$E$14</definedName>
    <definedName name="Stub_Period">DCF!$E$12</definedName>
    <definedName name="Tax_Rate">EZJ!$N$61</definedName>
    <definedName name="Ticker">EZJ!$E$8</definedName>
    <definedName name="Ticker_Range">Public_Comps!$C$8:$C$23</definedName>
    <definedName name="Units">EZJ!$E$9</definedName>
    <definedName name="Val_Date">DCF!$E$11</definedName>
    <definedName name="Valuation_Date">DCF!$K$10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7" i="2" l="1"/>
  <c r="P13" i="2"/>
  <c r="K13" i="2"/>
  <c r="K37" i="2"/>
  <c r="E11" i="2"/>
  <c r="Z141" i="1" l="1"/>
  <c r="W141" i="1"/>
  <c r="Z25" i="1"/>
  <c r="Z91" i="1"/>
  <c r="Z116" i="1"/>
  <c r="Z140" i="1"/>
  <c r="Q140" i="1"/>
  <c r="C21" i="1" l="1"/>
  <c r="C20" i="1"/>
  <c r="C19" i="1"/>
  <c r="E18" i="1" s="1"/>
  <c r="AA250" i="1" s="1"/>
  <c r="C16" i="1"/>
  <c r="C15" i="1"/>
  <c r="C14" i="1"/>
  <c r="E13" i="1" s="1"/>
  <c r="Z243" i="1" s="1"/>
  <c r="B2" i="2"/>
  <c r="T43" i="8"/>
  <c r="Q43" i="8"/>
  <c r="U39" i="8"/>
  <c r="T39" i="8"/>
  <c r="U37" i="8"/>
  <c r="T37" i="8"/>
  <c r="U36" i="8"/>
  <c r="T36" i="8"/>
  <c r="U38" i="8"/>
  <c r="T38" i="8"/>
  <c r="R39" i="8"/>
  <c r="R37" i="8"/>
  <c r="R36" i="8"/>
  <c r="R38" i="8"/>
  <c r="Q39" i="8"/>
  <c r="Q37" i="8"/>
  <c r="Q36" i="8"/>
  <c r="Q38" i="8"/>
  <c r="AA50" i="8"/>
  <c r="X50" i="8"/>
  <c r="U50" i="8"/>
  <c r="R50" i="8"/>
  <c r="AA48" i="8"/>
  <c r="X48" i="8"/>
  <c r="U48" i="8"/>
  <c r="R48" i="8"/>
  <c r="AA45" i="8"/>
  <c r="X45" i="8"/>
  <c r="U45" i="8"/>
  <c r="R45" i="8"/>
  <c r="AA49" i="8"/>
  <c r="X49" i="8"/>
  <c r="U49" i="8"/>
  <c r="R49" i="8"/>
  <c r="AA47" i="8"/>
  <c r="X47" i="8"/>
  <c r="U47" i="8"/>
  <c r="R47" i="8"/>
  <c r="X44" i="8"/>
  <c r="R44" i="8"/>
  <c r="P33" i="8"/>
  <c r="B2" i="8"/>
  <c r="Y15" i="4"/>
  <c r="T50" i="8" s="1"/>
  <c r="Y14" i="4"/>
  <c r="T48" i="8" s="1"/>
  <c r="Y13" i="4"/>
  <c r="T45" i="8" s="1"/>
  <c r="Y12" i="4"/>
  <c r="T51" i="8" s="1"/>
  <c r="X15" i="4"/>
  <c r="Q50" i="8" s="1"/>
  <c r="X14" i="4"/>
  <c r="Q48" i="8" s="1"/>
  <c r="X13" i="4"/>
  <c r="Q45" i="8" s="1"/>
  <c r="X12" i="4"/>
  <c r="Q51" i="8" s="1"/>
  <c r="AA243" i="1" l="1"/>
  <c r="Z250" i="1"/>
  <c r="R51" i="8"/>
  <c r="X51" i="8"/>
  <c r="AA44" i="8"/>
  <c r="U51" i="8"/>
  <c r="AA51" i="8"/>
  <c r="U44" i="8"/>
  <c r="E36" i="6" l="1"/>
  <c r="E35" i="6"/>
  <c r="E33" i="6"/>
  <c r="J17" i="5"/>
  <c r="J16" i="5"/>
  <c r="I16" i="5"/>
  <c r="F15" i="5"/>
  <c r="I15" i="5" s="1"/>
  <c r="J14" i="5"/>
  <c r="I14" i="5"/>
  <c r="I17" i="5"/>
  <c r="W11" i="4"/>
  <c r="T11" i="4"/>
  <c r="Q11" i="4"/>
  <c r="W10" i="4"/>
  <c r="T10" i="4"/>
  <c r="Q10" i="4"/>
  <c r="AB12" i="4"/>
  <c r="AB13" i="4"/>
  <c r="AB14" i="4"/>
  <c r="AB15" i="4"/>
  <c r="W9" i="4"/>
  <c r="T9" i="4"/>
  <c r="Q9" i="4"/>
  <c r="D164" i="2"/>
  <c r="D165" i="2" s="1"/>
  <c r="D166" i="2" s="1"/>
  <c r="D167" i="2" s="1"/>
  <c r="D168" i="2" s="1"/>
  <c r="D169" i="2" s="1"/>
  <c r="D170" i="2" s="1"/>
  <c r="D171" i="2" s="1"/>
  <c r="D172" i="2" s="1"/>
  <c r="D173" i="2" s="1"/>
  <c r="D150" i="2"/>
  <c r="D151" i="2" s="1"/>
  <c r="D152" i="2" s="1"/>
  <c r="D153" i="2" s="1"/>
  <c r="D154" i="2" s="1"/>
  <c r="D155" i="2" s="1"/>
  <c r="D156" i="2" s="1"/>
  <c r="D157" i="2" s="1"/>
  <c r="D158" i="2" s="1"/>
  <c r="D159" i="2" s="1"/>
  <c r="E148" i="2"/>
  <c r="R35" i="8" l="1"/>
  <c r="U34" i="8"/>
  <c r="R32" i="8"/>
  <c r="U35" i="8"/>
  <c r="U32" i="8"/>
  <c r="R34" i="8"/>
  <c r="Q20" i="4"/>
  <c r="W20" i="4"/>
  <c r="T17" i="4"/>
  <c r="J15" i="5"/>
  <c r="Q21" i="4"/>
  <c r="T21" i="4"/>
  <c r="W21" i="4"/>
  <c r="T19" i="4"/>
  <c r="T18" i="4"/>
  <c r="T20" i="4"/>
  <c r="Q18" i="4"/>
  <c r="W18" i="4"/>
  <c r="Q17" i="4"/>
  <c r="Q19" i="4"/>
  <c r="W19" i="4"/>
  <c r="W17" i="4"/>
  <c r="AB10" i="4"/>
  <c r="AB11" i="4"/>
  <c r="AB9" i="4"/>
  <c r="AB17" i="4"/>
  <c r="F142" i="2"/>
  <c r="F148" i="2" s="1"/>
  <c r="G142" i="2" l="1"/>
  <c r="G148" i="2" s="1"/>
  <c r="AB18" i="4"/>
  <c r="H142" i="2"/>
  <c r="AB20" i="4"/>
  <c r="AB21" i="4"/>
  <c r="AB19" i="4"/>
  <c r="B77" i="2"/>
  <c r="I142" i="2" l="1"/>
  <c r="H148" i="2"/>
  <c r="M16" i="2"/>
  <c r="M15" i="2"/>
  <c r="M14" i="2"/>
  <c r="H16" i="2"/>
  <c r="H15" i="2"/>
  <c r="H14" i="2"/>
  <c r="C66" i="2"/>
  <c r="C65" i="2"/>
  <c r="C64" i="2"/>
  <c r="M63" i="2" s="1"/>
  <c r="C49" i="2"/>
  <c r="C48" i="2"/>
  <c r="C47" i="2"/>
  <c r="L23" i="4"/>
  <c r="H23" i="4"/>
  <c r="E24" i="2"/>
  <c r="J142" i="2" l="1"/>
  <c r="I148" i="2"/>
  <c r="K23" i="4"/>
  <c r="E34" i="6"/>
  <c r="N63" i="2"/>
  <c r="O63" i="2"/>
  <c r="P63" i="2"/>
  <c r="Q63" i="2"/>
  <c r="B3" i="2"/>
  <c r="C23" i="4"/>
  <c r="F8" i="3"/>
  <c r="K142" i="2" l="1"/>
  <c r="J148" i="2"/>
  <c r="K15" i="4"/>
  <c r="J15" i="4" s="1"/>
  <c r="F15" i="4"/>
  <c r="W34" i="4" s="1"/>
  <c r="AA15" i="4"/>
  <c r="Z15" i="4"/>
  <c r="G21" i="4"/>
  <c r="G20" i="4"/>
  <c r="G19" i="4"/>
  <c r="G18" i="4"/>
  <c r="G17" i="4"/>
  <c r="K14" i="4"/>
  <c r="J14" i="4" s="1"/>
  <c r="AA14" i="4"/>
  <c r="Z14" i="4"/>
  <c r="F14" i="4"/>
  <c r="W33" i="4" s="1"/>
  <c r="K12" i="4"/>
  <c r="J12" i="4" s="1"/>
  <c r="F12" i="4"/>
  <c r="W31" i="4" s="1"/>
  <c r="AA12" i="4"/>
  <c r="Z12" i="4"/>
  <c r="K13" i="4"/>
  <c r="J13" i="4" s="1"/>
  <c r="AA13" i="4"/>
  <c r="Z13" i="4"/>
  <c r="F13" i="4"/>
  <c r="W32" i="4" s="1"/>
  <c r="V11" i="4"/>
  <c r="U11" i="4"/>
  <c r="S11" i="4"/>
  <c r="T34" i="8" s="1"/>
  <c r="R11" i="4"/>
  <c r="Y11" i="4" s="1"/>
  <c r="T49" i="8" s="1"/>
  <c r="P11" i="4"/>
  <c r="Q34" i="8" s="1"/>
  <c r="O11" i="4"/>
  <c r="X11" i="4" s="1"/>
  <c r="Q49" i="8" s="1"/>
  <c r="K11" i="4"/>
  <c r="J11" i="4"/>
  <c r="F11" i="4"/>
  <c r="W30" i="4" s="1"/>
  <c r="L142" i="2" l="1"/>
  <c r="K148" i="2"/>
  <c r="N11" i="4"/>
  <c r="AA11" i="4"/>
  <c r="Z11" i="4"/>
  <c r="N14" i="4"/>
  <c r="N13" i="4"/>
  <c r="N15" i="4"/>
  <c r="N12" i="4"/>
  <c r="V10" i="4"/>
  <c r="U10" i="4"/>
  <c r="S10" i="4"/>
  <c r="T35" i="8" s="1"/>
  <c r="R10" i="4"/>
  <c r="Y10" i="4" s="1"/>
  <c r="T44" i="8" s="1"/>
  <c r="P10" i="4"/>
  <c r="Q35" i="8" s="1"/>
  <c r="O10" i="4"/>
  <c r="X10" i="4" s="1"/>
  <c r="Q44" i="8" s="1"/>
  <c r="F10" i="4"/>
  <c r="V9" i="4"/>
  <c r="U9" i="4"/>
  <c r="S9" i="4"/>
  <c r="T32" i="8" s="1"/>
  <c r="R9" i="4"/>
  <c r="Y9" i="4" s="1"/>
  <c r="T47" i="8" s="1"/>
  <c r="P9" i="4"/>
  <c r="Q32" i="8" s="1"/>
  <c r="O9" i="4"/>
  <c r="X9" i="4" s="1"/>
  <c r="Q47" i="8" s="1"/>
  <c r="V32" i="4"/>
  <c r="U32" i="4"/>
  <c r="F32" i="4"/>
  <c r="C32" i="4"/>
  <c r="B32" i="4"/>
  <c r="E22" i="2"/>
  <c r="E20" i="2"/>
  <c r="M142" i="2" l="1"/>
  <c r="L148" i="2"/>
  <c r="I23" i="4"/>
  <c r="E30" i="6"/>
  <c r="J23" i="4"/>
  <c r="E32" i="6"/>
  <c r="Q34" i="4"/>
  <c r="T34" i="4"/>
  <c r="T31" i="4"/>
  <c r="Q31" i="4"/>
  <c r="S32" i="4"/>
  <c r="Z36" i="8" s="1"/>
  <c r="Q32" i="4"/>
  <c r="T32" i="4"/>
  <c r="N10" i="4"/>
  <c r="W29" i="4"/>
  <c r="Q33" i="4"/>
  <c r="T33" i="4"/>
  <c r="T30" i="4"/>
  <c r="Q30" i="4"/>
  <c r="N32" i="4"/>
  <c r="P32" i="4"/>
  <c r="W36" i="8" s="1"/>
  <c r="R32" i="4"/>
  <c r="O32" i="4"/>
  <c r="AA10" i="4"/>
  <c r="Z10" i="4"/>
  <c r="N46" i="2"/>
  <c r="O46" i="2"/>
  <c r="P46" i="2"/>
  <c r="Q46" i="2"/>
  <c r="M46" i="2"/>
  <c r="E46" i="2"/>
  <c r="H95" i="2"/>
  <c r="G95" i="2"/>
  <c r="F95" i="2"/>
  <c r="E9" i="2"/>
  <c r="P46" i="7"/>
  <c r="Q46" i="7" s="1"/>
  <c r="R46" i="7" s="1"/>
  <c r="B36" i="7"/>
  <c r="B35" i="7"/>
  <c r="W2" i="7"/>
  <c r="E39" i="6"/>
  <c r="M27" i="6"/>
  <c r="M34" i="7" s="1"/>
  <c r="L27" i="6"/>
  <c r="L34" i="7" s="1"/>
  <c r="K27" i="6"/>
  <c r="K34" i="7" s="1"/>
  <c r="J27" i="6"/>
  <c r="J34" i="7" s="1"/>
  <c r="I27" i="6"/>
  <c r="I34" i="7" s="1"/>
  <c r="N34" i="7" s="1"/>
  <c r="I5" i="6"/>
  <c r="C5" i="6"/>
  <c r="B5" i="6"/>
  <c r="B3" i="6"/>
  <c r="B2" i="6"/>
  <c r="H23" i="5"/>
  <c r="G23" i="5"/>
  <c r="F23" i="5"/>
  <c r="H22" i="5"/>
  <c r="G22" i="5"/>
  <c r="F22" i="5"/>
  <c r="H21" i="5"/>
  <c r="G21" i="5"/>
  <c r="F21" i="5"/>
  <c r="H20" i="5"/>
  <c r="G20" i="5"/>
  <c r="F20" i="5"/>
  <c r="H19" i="5"/>
  <c r="G19" i="5"/>
  <c r="F19" i="5"/>
  <c r="J13" i="5"/>
  <c r="I13" i="5"/>
  <c r="J12" i="5"/>
  <c r="I12" i="5"/>
  <c r="J11" i="5"/>
  <c r="I11" i="5"/>
  <c r="B7" i="5"/>
  <c r="B4" i="5"/>
  <c r="C42" i="4"/>
  <c r="B42" i="4"/>
  <c r="F34" i="4"/>
  <c r="C34" i="4"/>
  <c r="B34" i="4"/>
  <c r="C33" i="4"/>
  <c r="B33" i="4"/>
  <c r="C31" i="4"/>
  <c r="B31" i="4"/>
  <c r="C30" i="4"/>
  <c r="B30" i="4"/>
  <c r="C29" i="4"/>
  <c r="B29" i="4"/>
  <c r="C28" i="4"/>
  <c r="B28" i="4"/>
  <c r="E23" i="4"/>
  <c r="B23" i="4"/>
  <c r="V21" i="4"/>
  <c r="U21" i="4"/>
  <c r="S21" i="4"/>
  <c r="R21" i="4"/>
  <c r="P21" i="4"/>
  <c r="O21" i="4"/>
  <c r="D21" i="4"/>
  <c r="V20" i="4"/>
  <c r="U20" i="4"/>
  <c r="S20" i="4"/>
  <c r="R20" i="4"/>
  <c r="P20" i="4"/>
  <c r="O20" i="4"/>
  <c r="D20" i="4"/>
  <c r="V19" i="4"/>
  <c r="U19" i="4"/>
  <c r="S19" i="4"/>
  <c r="R19" i="4"/>
  <c r="P19" i="4"/>
  <c r="O19" i="4"/>
  <c r="D19" i="4"/>
  <c r="V18" i="4"/>
  <c r="U18" i="4"/>
  <c r="S18" i="4"/>
  <c r="R18" i="4"/>
  <c r="P18" i="4"/>
  <c r="O18" i="4"/>
  <c r="D18" i="4"/>
  <c r="V17" i="4"/>
  <c r="U17" i="4"/>
  <c r="S17" i="4"/>
  <c r="R17" i="4"/>
  <c r="P17" i="4"/>
  <c r="O17" i="4"/>
  <c r="D17" i="4"/>
  <c r="V34" i="4"/>
  <c r="F33" i="4"/>
  <c r="F31" i="4"/>
  <c r="O30" i="4"/>
  <c r="F29" i="4"/>
  <c r="AA9" i="4"/>
  <c r="Z9" i="4"/>
  <c r="F9" i="4"/>
  <c r="C31" i="3"/>
  <c r="C30" i="3"/>
  <c r="B27" i="3"/>
  <c r="D25" i="3"/>
  <c r="L35" i="3" s="1"/>
  <c r="C25" i="3"/>
  <c r="B25" i="3"/>
  <c r="K11" i="3"/>
  <c r="K16" i="3" s="1"/>
  <c r="I11" i="3"/>
  <c r="G11" i="3"/>
  <c r="E11" i="3"/>
  <c r="D11" i="3"/>
  <c r="B11" i="3"/>
  <c r="B16" i="3" s="1"/>
  <c r="B3" i="3"/>
  <c r="B2" i="3"/>
  <c r="E162" i="2"/>
  <c r="E161" i="2"/>
  <c r="D77" i="2"/>
  <c r="D43" i="2"/>
  <c r="P37" i="2"/>
  <c r="M34" i="2"/>
  <c r="K34" i="2"/>
  <c r="P34" i="2" s="1"/>
  <c r="M33" i="2"/>
  <c r="K33" i="2"/>
  <c r="P33" i="2" s="1"/>
  <c r="M32" i="2"/>
  <c r="M31" i="2"/>
  <c r="K31" i="2"/>
  <c r="P31" i="2" s="1"/>
  <c r="M30" i="2"/>
  <c r="K30" i="2"/>
  <c r="P30" i="2" s="1"/>
  <c r="M29" i="2"/>
  <c r="M28" i="2"/>
  <c r="K28" i="2"/>
  <c r="P28" i="2" s="1"/>
  <c r="B6" i="2"/>
  <c r="X37" i="8" l="1"/>
  <c r="W48" i="8"/>
  <c r="X36" i="8"/>
  <c r="W45" i="8"/>
  <c r="AA39" i="8"/>
  <c r="Z50" i="8"/>
  <c r="X34" i="8"/>
  <c r="W49" i="8"/>
  <c r="X39" i="8"/>
  <c r="W50" i="8"/>
  <c r="AA34" i="8"/>
  <c r="Z49" i="8"/>
  <c r="W51" i="8"/>
  <c r="X38" i="8"/>
  <c r="Z48" i="8"/>
  <c r="AA37" i="8"/>
  <c r="Z45" i="8"/>
  <c r="AA36" i="8"/>
  <c r="AA38" i="8"/>
  <c r="Z51" i="8"/>
  <c r="N142" i="2"/>
  <c r="M148" i="2"/>
  <c r="I21" i="5"/>
  <c r="J21" i="5"/>
  <c r="T29" i="4"/>
  <c r="Q29" i="4"/>
  <c r="N9" i="4"/>
  <c r="P28" i="4" s="1"/>
  <c r="W32" i="8" s="1"/>
  <c r="W28" i="4"/>
  <c r="D16" i="3"/>
  <c r="G16" i="3"/>
  <c r="B17" i="3"/>
  <c r="X18" i="4"/>
  <c r="Z17" i="4"/>
  <c r="G15" i="3"/>
  <c r="Y20" i="4"/>
  <c r="G18" i="3"/>
  <c r="G19" i="3"/>
  <c r="G20" i="3"/>
  <c r="G21" i="3"/>
  <c r="F20" i="4"/>
  <c r="X20" i="4"/>
  <c r="O34" i="7"/>
  <c r="P34" i="7"/>
  <c r="E16" i="3"/>
  <c r="I20" i="3"/>
  <c r="I21" i="3"/>
  <c r="I18" i="3"/>
  <c r="E17" i="3"/>
  <c r="I19" i="3"/>
  <c r="D23" i="4"/>
  <c r="F23" i="4" s="1"/>
  <c r="M46" i="7"/>
  <c r="L46" i="7"/>
  <c r="K46" i="7"/>
  <c r="J46" i="7"/>
  <c r="I46" i="7"/>
  <c r="K21" i="3"/>
  <c r="K19" i="3"/>
  <c r="K30" i="3"/>
  <c r="AA17" i="4"/>
  <c r="AA19" i="4"/>
  <c r="AA21" i="4"/>
  <c r="AA18" i="4"/>
  <c r="AA20" i="4"/>
  <c r="F162" i="2"/>
  <c r="E15" i="3"/>
  <c r="I17" i="3"/>
  <c r="B20" i="3"/>
  <c r="K31" i="3"/>
  <c r="K17" i="3"/>
  <c r="E20" i="3"/>
  <c r="E19" i="2"/>
  <c r="I15" i="3"/>
  <c r="B18" i="3"/>
  <c r="N31" i="4"/>
  <c r="S31" i="4"/>
  <c r="Z38" i="8" s="1"/>
  <c r="E30" i="3"/>
  <c r="K15" i="3"/>
  <c r="E18" i="3"/>
  <c r="K20" i="3"/>
  <c r="G30" i="3"/>
  <c r="E21" i="3"/>
  <c r="E19" i="3"/>
  <c r="B21" i="3"/>
  <c r="B15" i="3"/>
  <c r="K18" i="3"/>
  <c r="N30" i="4"/>
  <c r="S30" i="4"/>
  <c r="Z34" i="8" s="1"/>
  <c r="R30" i="4"/>
  <c r="P30" i="4"/>
  <c r="W34" i="8" s="1"/>
  <c r="I19" i="5"/>
  <c r="Q34" i="7"/>
  <c r="I16" i="3"/>
  <c r="B19" i="3"/>
  <c r="R34" i="7"/>
  <c r="G17" i="3"/>
  <c r="F18" i="4"/>
  <c r="Y18" i="4"/>
  <c r="Z20" i="4"/>
  <c r="R28" i="4"/>
  <c r="D15" i="3"/>
  <c r="D21" i="3"/>
  <c r="S28" i="4"/>
  <c r="Z32" i="8" s="1"/>
  <c r="J19" i="5"/>
  <c r="Z18" i="4"/>
  <c r="X21" i="4"/>
  <c r="P33" i="4"/>
  <c r="W37" i="8" s="1"/>
  <c r="D20" i="3"/>
  <c r="F21" i="4"/>
  <c r="Y21" i="4"/>
  <c r="U28" i="4"/>
  <c r="I22" i="5"/>
  <c r="X19" i="4"/>
  <c r="V28" i="4"/>
  <c r="U29" i="4"/>
  <c r="R33" i="4"/>
  <c r="J22" i="5"/>
  <c r="D19" i="3"/>
  <c r="F19" i="4"/>
  <c r="Y19" i="4"/>
  <c r="Z21" i="4"/>
  <c r="V29" i="4"/>
  <c r="U30" i="4"/>
  <c r="I20" i="5"/>
  <c r="X17" i="4"/>
  <c r="F28" i="4"/>
  <c r="V30" i="4"/>
  <c r="U31" i="4"/>
  <c r="J20" i="5"/>
  <c r="D18" i="3"/>
  <c r="F17" i="4"/>
  <c r="Y17" i="4"/>
  <c r="Z19" i="4"/>
  <c r="V31" i="4"/>
  <c r="U33" i="4"/>
  <c r="F30" i="4"/>
  <c r="V33" i="4"/>
  <c r="U34" i="4"/>
  <c r="I23" i="5"/>
  <c r="D17" i="3"/>
  <c r="O28" i="4"/>
  <c r="J23" i="5"/>
  <c r="W44" i="8" l="1"/>
  <c r="X35" i="8"/>
  <c r="Z44" i="8"/>
  <c r="AA35" i="8"/>
  <c r="O142" i="2"/>
  <c r="N148" i="2"/>
  <c r="C23" i="6" a="1"/>
  <c r="D23" i="6" s="1"/>
  <c r="N28" i="4"/>
  <c r="W40" i="4"/>
  <c r="W37" i="4"/>
  <c r="W39" i="4"/>
  <c r="W38" i="4"/>
  <c r="T28" i="4"/>
  <c r="Q28" i="4"/>
  <c r="W36" i="4"/>
  <c r="O31" i="4"/>
  <c r="P31" i="4"/>
  <c r="W38" i="8" s="1"/>
  <c r="R31" i="4"/>
  <c r="O33" i="4"/>
  <c r="N18" i="4"/>
  <c r="N21" i="4"/>
  <c r="S33" i="4"/>
  <c r="Z37" i="8" s="1"/>
  <c r="N33" i="4"/>
  <c r="F21" i="3"/>
  <c r="J18" i="3"/>
  <c r="J16" i="3"/>
  <c r="G23" i="3"/>
  <c r="F19" i="3"/>
  <c r="L18" i="3"/>
  <c r="H16" i="3"/>
  <c r="L21" i="3"/>
  <c r="F20" i="3"/>
  <c r="F17" i="3"/>
  <c r="N17" i="4"/>
  <c r="L15" i="3"/>
  <c r="D23" i="3"/>
  <c r="I23" i="3"/>
  <c r="J15" i="3"/>
  <c r="F18" i="3"/>
  <c r="H21" i="3"/>
  <c r="L16" i="3"/>
  <c r="K23" i="3"/>
  <c r="J21" i="3"/>
  <c r="J20" i="3"/>
  <c r="E23" i="3"/>
  <c r="F15" i="3"/>
  <c r="F42" i="4"/>
  <c r="N19" i="4"/>
  <c r="L19" i="3"/>
  <c r="H15" i="3"/>
  <c r="G162" i="2"/>
  <c r="H19" i="3"/>
  <c r="V39" i="4"/>
  <c r="V40" i="4"/>
  <c r="V36" i="4"/>
  <c r="V37" i="4"/>
  <c r="V38" i="4"/>
  <c r="J17" i="3"/>
  <c r="L17" i="3"/>
  <c r="U38" i="4"/>
  <c r="U39" i="4"/>
  <c r="U40" i="4"/>
  <c r="U36" i="4"/>
  <c r="U37" i="4"/>
  <c r="I30" i="3"/>
  <c r="J30" i="3" s="1"/>
  <c r="S34" i="4"/>
  <c r="Z39" i="8" s="1"/>
  <c r="R34" i="4"/>
  <c r="P34" i="4"/>
  <c r="W39" i="8" s="1"/>
  <c r="O34" i="4"/>
  <c r="N34" i="4"/>
  <c r="H18" i="3"/>
  <c r="F36" i="4"/>
  <c r="F37" i="4"/>
  <c r="F38" i="4"/>
  <c r="F39" i="4"/>
  <c r="F40" i="4"/>
  <c r="L20" i="3"/>
  <c r="O29" i="4"/>
  <c r="N29" i="4"/>
  <c r="S29" i="4"/>
  <c r="Z35" i="8" s="1"/>
  <c r="R29" i="4"/>
  <c r="P29" i="4"/>
  <c r="W35" i="8" s="1"/>
  <c r="N20" i="4"/>
  <c r="H17" i="3"/>
  <c r="H20" i="3"/>
  <c r="J19" i="3"/>
  <c r="F16" i="3"/>
  <c r="W47" i="8" l="1"/>
  <c r="X32" i="8"/>
  <c r="Z47" i="8"/>
  <c r="AA32" i="8"/>
  <c r="P142" i="2"/>
  <c r="O148" i="2"/>
  <c r="G24" i="6"/>
  <c r="C23" i="6"/>
  <c r="E23" i="6"/>
  <c r="F23" i="6"/>
  <c r="G23" i="6"/>
  <c r="C24" i="6"/>
  <c r="D24" i="6"/>
  <c r="E24" i="6"/>
  <c r="F24" i="6"/>
  <c r="Q40" i="4"/>
  <c r="Q36" i="4"/>
  <c r="Q39" i="4"/>
  <c r="Q37" i="4"/>
  <c r="Q38" i="4"/>
  <c r="T40" i="4"/>
  <c r="T37" i="4"/>
  <c r="T38" i="4"/>
  <c r="T39" i="4"/>
  <c r="T36" i="4"/>
  <c r="N40" i="4"/>
  <c r="R37" i="4"/>
  <c r="S36" i="4"/>
  <c r="N36" i="4"/>
  <c r="R36" i="4"/>
  <c r="O40" i="4"/>
  <c r="N39" i="4"/>
  <c r="O36" i="4"/>
  <c r="F23" i="3"/>
  <c r="H30" i="3"/>
  <c r="O39" i="4"/>
  <c r="P40" i="4"/>
  <c r="P39" i="4"/>
  <c r="P36" i="4"/>
  <c r="P37" i="4"/>
  <c r="P38" i="4"/>
  <c r="N38" i="4"/>
  <c r="O38" i="4"/>
  <c r="N37" i="4"/>
  <c r="O37" i="4"/>
  <c r="H162" i="2"/>
  <c r="S40" i="4"/>
  <c r="R40" i="4"/>
  <c r="J23" i="3"/>
  <c r="J31" i="3" s="1"/>
  <c r="S39" i="4"/>
  <c r="H23" i="3"/>
  <c r="H31" i="3" s="1"/>
  <c r="G31" i="3" s="1"/>
  <c r="R39" i="4"/>
  <c r="L23" i="3"/>
  <c r="S38" i="4"/>
  <c r="K10" i="2" s="1"/>
  <c r="R38" i="4"/>
  <c r="S37" i="4"/>
  <c r="F30" i="3"/>
  <c r="Q142" i="2" l="1"/>
  <c r="Q148" i="2" s="1"/>
  <c r="P148" i="2"/>
  <c r="C12" i="6" a="1"/>
  <c r="L39" i="3"/>
  <c r="F31" i="3"/>
  <c r="E31" i="3" s="1"/>
  <c r="I31" i="3"/>
  <c r="D30" i="3"/>
  <c r="L30" i="3" s="1"/>
  <c r="L33" i="3" s="1"/>
  <c r="L37" i="3" s="1"/>
  <c r="D31" i="3"/>
  <c r="I162" i="2"/>
  <c r="C12" i="6" l="1"/>
  <c r="G15" i="6"/>
  <c r="G17" i="6"/>
  <c r="E17" i="6"/>
  <c r="E14" i="6"/>
  <c r="F12" i="6"/>
  <c r="F15" i="6"/>
  <c r="E13" i="6"/>
  <c r="E15" i="6"/>
  <c r="C15" i="6"/>
  <c r="C13" i="6"/>
  <c r="F14" i="6"/>
  <c r="C19" i="6"/>
  <c r="F16" i="6"/>
  <c r="G12" i="6"/>
  <c r="F18" i="6"/>
  <c r="E16" i="6"/>
  <c r="F19" i="6"/>
  <c r="E19" i="6"/>
  <c r="D18" i="6"/>
  <c r="G19" i="6"/>
  <c r="G20" i="6"/>
  <c r="D16" i="6"/>
  <c r="D17" i="6"/>
  <c r="D13" i="6"/>
  <c r="E12" i="6"/>
  <c r="D14" i="6"/>
  <c r="C16" i="6"/>
  <c r="C20" i="6"/>
  <c r="G14" i="6"/>
  <c r="E18" i="6"/>
  <c r="G18" i="6"/>
  <c r="E20" i="6"/>
  <c r="F17" i="6"/>
  <c r="G13" i="6"/>
  <c r="C18" i="6"/>
  <c r="D15" i="6"/>
  <c r="C17" i="6"/>
  <c r="F20" i="6"/>
  <c r="D19" i="6"/>
  <c r="D20" i="6"/>
  <c r="G16" i="6"/>
  <c r="F13" i="6"/>
  <c r="D12" i="6"/>
  <c r="C14" i="6"/>
  <c r="L31" i="3"/>
  <c r="L34" i="3" s="1"/>
  <c r="L38" i="3" s="1"/>
  <c r="L41" i="3" s="1"/>
  <c r="J162" i="2"/>
  <c r="K162" i="2" l="1"/>
  <c r="L162" i="2" l="1"/>
  <c r="M162" i="2" l="1"/>
  <c r="N162" i="2" l="1"/>
  <c r="O162" i="2" l="1"/>
  <c r="P162" i="2" l="1"/>
  <c r="Q162" i="2"/>
  <c r="B27" i="6" s="1"/>
  <c r="B34" i="7" s="1"/>
  <c r="D225" i="1" l="1"/>
  <c r="D174" i="1"/>
  <c r="D141" i="1"/>
  <c r="D117" i="1"/>
  <c r="D92" i="1"/>
  <c r="D26" i="1"/>
  <c r="B2" i="1" l="1"/>
  <c r="L185" i="1"/>
  <c r="K185" i="1"/>
  <c r="R30" i="1" l="1"/>
  <c r="Q30" i="1"/>
  <c r="P30" i="1"/>
  <c r="O30" i="1"/>
  <c r="N30" i="1"/>
  <c r="M30" i="1"/>
  <c r="L30" i="1"/>
  <c r="C56" i="1"/>
  <c r="C55" i="1"/>
  <c r="C54" i="1"/>
  <c r="R53" i="1" s="1"/>
  <c r="C38" i="1"/>
  <c r="C37" i="1"/>
  <c r="C36" i="1"/>
  <c r="O35" i="1" s="1"/>
  <c r="T224" i="1"/>
  <c r="T126" i="1"/>
  <c r="T118" i="1"/>
  <c r="T116" i="1"/>
  <c r="T169" i="1"/>
  <c r="T158" i="1"/>
  <c r="T152" i="1"/>
  <c r="T142" i="1"/>
  <c r="T140" i="1"/>
  <c r="T91" i="1"/>
  <c r="E23" i="1"/>
  <c r="G231" i="1"/>
  <c r="G232" i="1" s="1"/>
  <c r="H231" i="1"/>
  <c r="I231" i="1"/>
  <c r="I232" i="1" s="1"/>
  <c r="J231" i="1"/>
  <c r="K231" i="1"/>
  <c r="K232" i="1" s="1"/>
  <c r="K252" i="1" s="1"/>
  <c r="G233" i="1"/>
  <c r="H233" i="1"/>
  <c r="I233" i="1"/>
  <c r="J233" i="1"/>
  <c r="K233" i="1"/>
  <c r="F231" i="1"/>
  <c r="F232" i="1" s="1"/>
  <c r="F252" i="1" s="1"/>
  <c r="F233" i="1"/>
  <c r="E233" i="1"/>
  <c r="E231" i="1"/>
  <c r="E232" i="1" s="1"/>
  <c r="E252" i="1" s="1"/>
  <c r="G228" i="1"/>
  <c r="H228" i="1"/>
  <c r="I228" i="1"/>
  <c r="J228" i="1"/>
  <c r="K228" i="1"/>
  <c r="F228" i="1"/>
  <c r="P35" i="1" l="1"/>
  <c r="Q35" i="1"/>
  <c r="R35" i="1"/>
  <c r="L53" i="1"/>
  <c r="M53" i="1"/>
  <c r="N53" i="1"/>
  <c r="O53" i="1"/>
  <c r="P53" i="1"/>
  <c r="L35" i="1"/>
  <c r="Q53" i="1"/>
  <c r="M35" i="1"/>
  <c r="N35" i="1"/>
  <c r="G251" i="1"/>
  <c r="F251" i="1"/>
  <c r="G252" i="1"/>
  <c r="I252" i="1"/>
  <c r="K251" i="1"/>
  <c r="J232" i="1"/>
  <c r="H232" i="1"/>
  <c r="J251" i="1"/>
  <c r="E251" i="1"/>
  <c r="I251" i="1"/>
  <c r="H251" i="1"/>
  <c r="E225" i="1"/>
  <c r="Q224" i="1"/>
  <c r="H252" i="1" l="1"/>
  <c r="J252" i="1"/>
  <c r="L195" i="1"/>
  <c r="L108" i="1" s="1"/>
  <c r="M186" i="1"/>
  <c r="N186" i="1"/>
  <c r="O186" i="1"/>
  <c r="P186" i="1"/>
  <c r="Q186" i="1"/>
  <c r="R186" i="1"/>
  <c r="L186" i="1"/>
  <c r="L196" i="1" s="1"/>
  <c r="L197" i="1" l="1"/>
  <c r="L109" i="1"/>
  <c r="K179" i="1"/>
  <c r="L110" i="1" l="1"/>
  <c r="L228" i="1"/>
  <c r="L200" i="1"/>
  <c r="E174" i="1"/>
  <c r="Q173" i="1"/>
  <c r="L202" i="1" l="1"/>
  <c r="L169" i="1"/>
  <c r="M154" i="1"/>
  <c r="N154" i="1" s="1"/>
  <c r="O154" i="1" s="1"/>
  <c r="P154" i="1" s="1"/>
  <c r="Q154" i="1" s="1"/>
  <c r="R154" i="1" s="1"/>
  <c r="L146" i="1"/>
  <c r="M78" i="1"/>
  <c r="N78" i="1" s="1"/>
  <c r="O78" i="1" s="1"/>
  <c r="P78" i="1" s="1"/>
  <c r="Q78" i="1" s="1"/>
  <c r="R78" i="1" s="1"/>
  <c r="M70" i="1"/>
  <c r="M71" i="1"/>
  <c r="N71" i="1" s="1"/>
  <c r="O71" i="1" s="1"/>
  <c r="P71" i="1" s="1"/>
  <c r="Q71" i="1" s="1"/>
  <c r="R71" i="1" s="1"/>
  <c r="G77" i="1"/>
  <c r="H77" i="1"/>
  <c r="I77" i="1"/>
  <c r="K77" i="1"/>
  <c r="F72" i="1"/>
  <c r="G72" i="1"/>
  <c r="H72" i="1"/>
  <c r="F73" i="1"/>
  <c r="G73" i="1"/>
  <c r="H73" i="1"/>
  <c r="I73" i="1"/>
  <c r="K73" i="1"/>
  <c r="E77" i="1"/>
  <c r="F77" i="1"/>
  <c r="E73" i="1"/>
  <c r="E72" i="1"/>
  <c r="Q116" i="1"/>
  <c r="G67" i="1"/>
  <c r="H67" i="1"/>
  <c r="I67" i="1"/>
  <c r="J67" i="1"/>
  <c r="K67" i="1"/>
  <c r="G68" i="1"/>
  <c r="H68" i="1"/>
  <c r="I68" i="1"/>
  <c r="J68" i="1"/>
  <c r="K68" i="1"/>
  <c r="F68" i="1"/>
  <c r="F67" i="1"/>
  <c r="E63" i="1"/>
  <c r="N70" i="1" l="1"/>
  <c r="O70" i="1" l="1"/>
  <c r="P70" i="1" l="1"/>
  <c r="Q70" i="1" l="1"/>
  <c r="R70" i="1" l="1"/>
  <c r="M101" i="1"/>
  <c r="Q91" i="1"/>
  <c r="O61" i="1"/>
  <c r="P61" i="1" s="1"/>
  <c r="Q61" i="1" s="1"/>
  <c r="R61" i="1" s="1"/>
  <c r="M29" i="1"/>
  <c r="F51" i="1"/>
  <c r="G51" i="1"/>
  <c r="H51" i="1"/>
  <c r="I51" i="1"/>
  <c r="K51" i="1"/>
  <c r="F53" i="1"/>
  <c r="G53" i="1"/>
  <c r="H53" i="1"/>
  <c r="I53" i="1"/>
  <c r="K53" i="1"/>
  <c r="F58" i="1"/>
  <c r="G58" i="1"/>
  <c r="H58" i="1"/>
  <c r="I58" i="1"/>
  <c r="K58" i="1"/>
  <c r="F59" i="1"/>
  <c r="G59" i="1"/>
  <c r="H59" i="1"/>
  <c r="E59" i="1"/>
  <c r="E58" i="1"/>
  <c r="E53" i="1"/>
  <c r="E51" i="1"/>
  <c r="E49" i="1"/>
  <c r="O29" i="1" l="1"/>
  <c r="O95" i="1" s="1"/>
  <c r="M153" i="1"/>
  <c r="M155" i="1"/>
  <c r="M163" i="1" s="1"/>
  <c r="M164" i="1"/>
  <c r="M95" i="1"/>
  <c r="M100" i="1"/>
  <c r="M144" i="1" s="1"/>
  <c r="M40" i="1"/>
  <c r="N101" i="1"/>
  <c r="O101" i="1" s="1"/>
  <c r="M96" i="1"/>
  <c r="M102" i="1"/>
  <c r="O102" i="1" l="1"/>
  <c r="O145" i="1" s="1"/>
  <c r="O100" i="1"/>
  <c r="O144" i="1" s="1"/>
  <c r="O40" i="1"/>
  <c r="O43" i="1" s="1"/>
  <c r="M156" i="1"/>
  <c r="O96" i="1"/>
  <c r="O164" i="1"/>
  <c r="O153" i="1"/>
  <c r="O155" i="1"/>
  <c r="O163" i="1" s="1"/>
  <c r="M103" i="1"/>
  <c r="M145" i="1"/>
  <c r="M46" i="1"/>
  <c r="M43" i="1"/>
  <c r="M41" i="1"/>
  <c r="P101" i="1"/>
  <c r="O46" i="1" l="1"/>
  <c r="O94" i="1" s="1"/>
  <c r="O103" i="1"/>
  <c r="O41" i="1"/>
  <c r="O156" i="1"/>
  <c r="M94" i="1"/>
  <c r="Q101" i="1"/>
  <c r="O238" i="1" l="1"/>
  <c r="O167" i="1"/>
  <c r="O148" i="1"/>
  <c r="O97" i="1"/>
  <c r="O240" i="1" s="1"/>
  <c r="M148" i="1"/>
  <c r="M167" i="1"/>
  <c r="M97" i="1"/>
  <c r="R101" i="1"/>
  <c r="M240" i="1" l="1"/>
  <c r="O105" i="1"/>
  <c r="M105" i="1"/>
  <c r="H169" i="1"/>
  <c r="G169" i="1"/>
  <c r="F169" i="1"/>
  <c r="E163" i="1"/>
  <c r="E165" i="1" s="1"/>
  <c r="F163" i="1"/>
  <c r="F165" i="1" s="1"/>
  <c r="G163" i="1"/>
  <c r="G165" i="1" s="1"/>
  <c r="H163" i="1"/>
  <c r="H165" i="1" s="1"/>
  <c r="E156" i="1"/>
  <c r="F156" i="1"/>
  <c r="G156" i="1"/>
  <c r="H156" i="1"/>
  <c r="K169" i="1"/>
  <c r="J169" i="1"/>
  <c r="I169" i="1"/>
  <c r="K163" i="1"/>
  <c r="I163" i="1"/>
  <c r="J155" i="1"/>
  <c r="J164" i="1"/>
  <c r="J162" i="1"/>
  <c r="J159" i="1"/>
  <c r="I160" i="1"/>
  <c r="J160" i="1" s="1"/>
  <c r="K159" i="1"/>
  <c r="J154" i="1"/>
  <c r="I153" i="1"/>
  <c r="K153" i="1"/>
  <c r="K72" i="1" s="1"/>
  <c r="F144" i="1"/>
  <c r="G144" i="1"/>
  <c r="H144" i="1"/>
  <c r="I144" i="1"/>
  <c r="K144" i="1"/>
  <c r="F145" i="1"/>
  <c r="G145" i="1"/>
  <c r="H145" i="1"/>
  <c r="E145" i="1"/>
  <c r="E144" i="1"/>
  <c r="E141" i="1"/>
  <c r="K156" i="1" l="1"/>
  <c r="M239" i="1"/>
  <c r="M235" i="1"/>
  <c r="O239" i="1"/>
  <c r="O235" i="1"/>
  <c r="J163" i="1"/>
  <c r="J165" i="1" s="1"/>
  <c r="I156" i="1"/>
  <c r="I72" i="1"/>
  <c r="J153" i="1"/>
  <c r="K165" i="1"/>
  <c r="I165" i="1"/>
  <c r="J156" i="1" l="1"/>
  <c r="K132" i="1"/>
  <c r="K136" i="1" s="1"/>
  <c r="J132" i="1"/>
  <c r="J136" i="1" s="1"/>
  <c r="I132" i="1"/>
  <c r="I136" i="1" s="1"/>
  <c r="H132" i="1"/>
  <c r="H136" i="1" s="1"/>
  <c r="G132" i="1"/>
  <c r="G136" i="1" s="1"/>
  <c r="F132" i="1"/>
  <c r="F136" i="1" s="1"/>
  <c r="E132" i="1"/>
  <c r="E136" i="1" s="1"/>
  <c r="K124" i="1"/>
  <c r="J124" i="1"/>
  <c r="I124" i="1"/>
  <c r="G124" i="1"/>
  <c r="F124" i="1"/>
  <c r="E124" i="1"/>
  <c r="H124" i="1"/>
  <c r="E117" i="1"/>
  <c r="E138" i="1" l="1"/>
  <c r="F138" i="1"/>
  <c r="G138" i="1"/>
  <c r="I138" i="1"/>
  <c r="K138" i="1"/>
  <c r="H138" i="1"/>
  <c r="J138" i="1"/>
  <c r="H110" i="1" l="1"/>
  <c r="G110" i="1"/>
  <c r="F110" i="1"/>
  <c r="E110" i="1"/>
  <c r="H103" i="1"/>
  <c r="G103" i="1"/>
  <c r="F103" i="1"/>
  <c r="E103" i="1"/>
  <c r="J110" i="1"/>
  <c r="K110" i="1"/>
  <c r="I110" i="1"/>
  <c r="J100" i="1"/>
  <c r="I102" i="1"/>
  <c r="I59" i="1" s="1"/>
  <c r="K102" i="1"/>
  <c r="K59" i="1" s="1"/>
  <c r="F94" i="1"/>
  <c r="G94" i="1"/>
  <c r="H94" i="1"/>
  <c r="I94" i="1"/>
  <c r="K94" i="1"/>
  <c r="E94" i="1"/>
  <c r="E92" i="1"/>
  <c r="K41" i="1"/>
  <c r="I41" i="1"/>
  <c r="H41" i="1"/>
  <c r="G41" i="1"/>
  <c r="H30" i="1"/>
  <c r="I30" i="1"/>
  <c r="K30" i="1"/>
  <c r="G30" i="1"/>
  <c r="H35" i="1"/>
  <c r="G35" i="1"/>
  <c r="F35" i="1"/>
  <c r="E35" i="1"/>
  <c r="H47" i="1"/>
  <c r="G47" i="1"/>
  <c r="F47" i="1"/>
  <c r="E47" i="1"/>
  <c r="H44" i="1"/>
  <c r="G44" i="1"/>
  <c r="F44" i="1"/>
  <c r="E44" i="1"/>
  <c r="J40" i="1"/>
  <c r="J41" i="1" s="1"/>
  <c r="J29" i="1"/>
  <c r="J46" i="1"/>
  <c r="J43" i="1"/>
  <c r="K47" i="1"/>
  <c r="I47" i="1"/>
  <c r="I44" i="1"/>
  <c r="K44" i="1"/>
  <c r="K35" i="1"/>
  <c r="I35" i="1"/>
  <c r="F26" i="1"/>
  <c r="H238" i="1" l="1"/>
  <c r="F23" i="1"/>
  <c r="T26" i="1"/>
  <c r="E43" i="2" s="1"/>
  <c r="I238" i="1"/>
  <c r="J70" i="1"/>
  <c r="K229" i="1"/>
  <c r="I70" i="1"/>
  <c r="J229" i="1"/>
  <c r="K238" i="1"/>
  <c r="M238" i="1"/>
  <c r="G238" i="1"/>
  <c r="G70" i="1"/>
  <c r="H229" i="1"/>
  <c r="K70" i="1"/>
  <c r="L229" i="1"/>
  <c r="F70" i="1"/>
  <c r="G229" i="1"/>
  <c r="H70" i="1"/>
  <c r="I229" i="1"/>
  <c r="F174" i="1"/>
  <c r="F225" i="1"/>
  <c r="E70" i="1"/>
  <c r="F229" i="1"/>
  <c r="L29" i="1"/>
  <c r="N29" i="1" s="1"/>
  <c r="J77" i="1"/>
  <c r="J73" i="1"/>
  <c r="J72" i="1"/>
  <c r="E76" i="1"/>
  <c r="E78" i="1"/>
  <c r="E71" i="1"/>
  <c r="K78" i="1"/>
  <c r="K71" i="1"/>
  <c r="K76" i="1"/>
  <c r="I78" i="1"/>
  <c r="I76" i="1"/>
  <c r="I71" i="1"/>
  <c r="H78" i="1"/>
  <c r="H71" i="1"/>
  <c r="H76" i="1"/>
  <c r="F78" i="1"/>
  <c r="F76" i="1"/>
  <c r="F71" i="1"/>
  <c r="G78" i="1"/>
  <c r="G71" i="1"/>
  <c r="G76" i="1"/>
  <c r="F49" i="1"/>
  <c r="F63" i="1"/>
  <c r="E97" i="1"/>
  <c r="E240" i="1" s="1"/>
  <c r="F65" i="1"/>
  <c r="F66" i="1"/>
  <c r="K97" i="1"/>
  <c r="K240" i="1" s="1"/>
  <c r="G97" i="1"/>
  <c r="H65" i="1"/>
  <c r="H66" i="1"/>
  <c r="H97" i="1"/>
  <c r="I65" i="1"/>
  <c r="I66" i="1"/>
  <c r="F97" i="1"/>
  <c r="G65" i="1"/>
  <c r="G66" i="1"/>
  <c r="I97" i="1"/>
  <c r="J30" i="1"/>
  <c r="J53" i="1"/>
  <c r="J51" i="1"/>
  <c r="J144" i="1"/>
  <c r="J58" i="1"/>
  <c r="F92" i="1"/>
  <c r="F141" i="1"/>
  <c r="K103" i="1"/>
  <c r="K145" i="1"/>
  <c r="I103" i="1"/>
  <c r="I145" i="1"/>
  <c r="J94" i="1"/>
  <c r="J102" i="1"/>
  <c r="G26" i="1"/>
  <c r="F117" i="1"/>
  <c r="J47" i="1"/>
  <c r="J35" i="1"/>
  <c r="J44" i="1"/>
  <c r="E77" i="2" l="1"/>
  <c r="B117" i="8"/>
  <c r="B82" i="8"/>
  <c r="J238" i="1"/>
  <c r="T225" i="1"/>
  <c r="T63" i="1"/>
  <c r="U26" i="1"/>
  <c r="F43" i="2" s="1"/>
  <c r="T141" i="1"/>
  <c r="T23" i="1"/>
  <c r="T117" i="1"/>
  <c r="T92" i="1"/>
  <c r="T49" i="1"/>
  <c r="G225" i="1"/>
  <c r="G23" i="1"/>
  <c r="I240" i="1"/>
  <c r="F105" i="1"/>
  <c r="F240" i="1"/>
  <c r="G227" i="1"/>
  <c r="G105" i="1"/>
  <c r="H227" i="1"/>
  <c r="G240" i="1"/>
  <c r="H105" i="1"/>
  <c r="I227" i="1"/>
  <c r="H240" i="1"/>
  <c r="E105" i="1"/>
  <c r="F227" i="1"/>
  <c r="L40" i="1"/>
  <c r="L43" i="1" s="1"/>
  <c r="L95" i="1"/>
  <c r="L96" i="1"/>
  <c r="L102" i="1"/>
  <c r="L145" i="1" s="1"/>
  <c r="L100" i="1"/>
  <c r="J66" i="1"/>
  <c r="J71" i="1"/>
  <c r="J78" i="1"/>
  <c r="J76" i="1"/>
  <c r="L76" i="1" s="1"/>
  <c r="M76" i="1" s="1"/>
  <c r="N153" i="1"/>
  <c r="N155" i="1"/>
  <c r="N163" i="1" s="1"/>
  <c r="N164" i="1"/>
  <c r="G63" i="1"/>
  <c r="G174" i="1"/>
  <c r="L155" i="1"/>
  <c r="L163" i="1" s="1"/>
  <c r="L153" i="1"/>
  <c r="L164" i="1"/>
  <c r="J97" i="1"/>
  <c r="K65" i="1"/>
  <c r="K66" i="1"/>
  <c r="J65" i="1"/>
  <c r="K105" i="1"/>
  <c r="I105" i="1"/>
  <c r="N100" i="1"/>
  <c r="N144" i="1" s="1"/>
  <c r="N40" i="1"/>
  <c r="N95" i="1"/>
  <c r="N96" i="1"/>
  <c r="N102" i="1"/>
  <c r="N145" i="1" s="1"/>
  <c r="P29" i="1"/>
  <c r="G141" i="1"/>
  <c r="G49" i="1"/>
  <c r="J145" i="1"/>
  <c r="J59" i="1"/>
  <c r="J103" i="1"/>
  <c r="H26" i="1"/>
  <c r="G117" i="1"/>
  <c r="G92" i="1"/>
  <c r="F77" i="2" l="1"/>
  <c r="C117" i="8"/>
  <c r="C82" i="8"/>
  <c r="U225" i="1"/>
  <c r="U63" i="1"/>
  <c r="T131" i="1"/>
  <c r="T128" i="1"/>
  <c r="T122" i="1"/>
  <c r="T129" i="1"/>
  <c r="T123" i="1"/>
  <c r="T120" i="1"/>
  <c r="T134" i="1"/>
  <c r="T130" i="1"/>
  <c r="T127" i="1"/>
  <c r="T121" i="1"/>
  <c r="T119" i="1"/>
  <c r="L103" i="1"/>
  <c r="V26" i="1"/>
  <c r="G43" i="2" s="1"/>
  <c r="U141" i="1"/>
  <c r="U117" i="1"/>
  <c r="U49" i="1"/>
  <c r="U92" i="1"/>
  <c r="U23" i="1"/>
  <c r="L144" i="1"/>
  <c r="L123" i="1" s="1"/>
  <c r="M123" i="1" s="1"/>
  <c r="N123" i="1" s="1"/>
  <c r="O123" i="1" s="1"/>
  <c r="L46" i="1"/>
  <c r="L94" i="1" s="1"/>
  <c r="H23" i="6" s="1"/>
  <c r="L41" i="6" s="1"/>
  <c r="L41" i="1"/>
  <c r="M129" i="1"/>
  <c r="H225" i="1"/>
  <c r="H23" i="1"/>
  <c r="L129" i="1"/>
  <c r="M128" i="1"/>
  <c r="K227" i="1"/>
  <c r="J240" i="1"/>
  <c r="H247" i="1"/>
  <c r="H248" i="1"/>
  <c r="H244" i="1"/>
  <c r="H245" i="1"/>
  <c r="E112" i="1"/>
  <c r="E239" i="1"/>
  <c r="H112" i="1"/>
  <c r="H239" i="1"/>
  <c r="G112" i="1"/>
  <c r="G239" i="1"/>
  <c r="G247" i="1"/>
  <c r="G248" i="1"/>
  <c r="G244" i="1"/>
  <c r="G245" i="1"/>
  <c r="L128" i="1"/>
  <c r="I112" i="1"/>
  <c r="I114" i="1" s="1"/>
  <c r="I239" i="1"/>
  <c r="K112" i="1"/>
  <c r="K239" i="1"/>
  <c r="F112" i="1"/>
  <c r="F239" i="1"/>
  <c r="I247" i="1"/>
  <c r="I248" i="1"/>
  <c r="I245" i="1"/>
  <c r="I244" i="1"/>
  <c r="F248" i="1"/>
  <c r="F247" i="1"/>
  <c r="F244" i="1"/>
  <c r="F245" i="1"/>
  <c r="J227" i="1"/>
  <c r="L156" i="1"/>
  <c r="L122" i="1"/>
  <c r="M122" i="1" s="1"/>
  <c r="N122" i="1" s="1"/>
  <c r="O122" i="1" s="1"/>
  <c r="N156" i="1"/>
  <c r="N76" i="1"/>
  <c r="O76" i="1" s="1"/>
  <c r="M162" i="1"/>
  <c r="J105" i="1"/>
  <c r="H63" i="1"/>
  <c r="H174" i="1"/>
  <c r="L130" i="1"/>
  <c r="P164" i="1"/>
  <c r="P153" i="1"/>
  <c r="P155" i="1"/>
  <c r="P163" i="1" s="1"/>
  <c r="O129" i="1"/>
  <c r="O128" i="1"/>
  <c r="N128" i="1"/>
  <c r="N129" i="1"/>
  <c r="N103" i="1"/>
  <c r="P100" i="1"/>
  <c r="P144" i="1" s="1"/>
  <c r="P95" i="1"/>
  <c r="P96" i="1"/>
  <c r="P102" i="1"/>
  <c r="P145" i="1" s="1"/>
  <c r="P40" i="1"/>
  <c r="Q29" i="1"/>
  <c r="N41" i="1"/>
  <c r="N46" i="1"/>
  <c r="N43" i="1"/>
  <c r="H141" i="1"/>
  <c r="H49" i="1"/>
  <c r="I26" i="1"/>
  <c r="H117" i="1"/>
  <c r="H92" i="1"/>
  <c r="G77" i="2" l="1"/>
  <c r="D82" i="8"/>
  <c r="D117" i="8"/>
  <c r="M41" i="6"/>
  <c r="K41" i="6"/>
  <c r="J41" i="6"/>
  <c r="I41" i="6"/>
  <c r="L238" i="1"/>
  <c r="O23" i="4"/>
  <c r="M130" i="1"/>
  <c r="N130" i="1" s="1"/>
  <c r="K114" i="1"/>
  <c r="K241" i="1" s="1"/>
  <c r="K81" i="1"/>
  <c r="V225" i="1"/>
  <c r="V63" i="1"/>
  <c r="T124" i="1"/>
  <c r="T233" i="1"/>
  <c r="T231" i="1"/>
  <c r="U131" i="1"/>
  <c r="U128" i="1"/>
  <c r="U122" i="1"/>
  <c r="U129" i="1"/>
  <c r="U123" i="1"/>
  <c r="U120" i="1"/>
  <c r="U127" i="1"/>
  <c r="U134" i="1"/>
  <c r="U130" i="1"/>
  <c r="U121" i="1"/>
  <c r="U119" i="1"/>
  <c r="W26" i="1"/>
  <c r="H43" i="2" s="1"/>
  <c r="H77" i="2" s="1"/>
  <c r="V117" i="1"/>
  <c r="V92" i="1"/>
  <c r="V49" i="1"/>
  <c r="V141" i="1"/>
  <c r="V23" i="1"/>
  <c r="T132" i="1"/>
  <c r="T136" i="1" s="1"/>
  <c r="I225" i="1"/>
  <c r="I23" i="1"/>
  <c r="K61" i="1"/>
  <c r="G114" i="1"/>
  <c r="G61" i="1"/>
  <c r="G235" i="1" s="1"/>
  <c r="G236" i="1" s="1"/>
  <c r="H61" i="1"/>
  <c r="H235" i="1" s="1"/>
  <c r="H236" i="1" s="1"/>
  <c r="H114" i="1"/>
  <c r="I143" i="1"/>
  <c r="I150" i="1" s="1"/>
  <c r="I170" i="1" s="1"/>
  <c r="I171" i="1" s="1"/>
  <c r="I241" i="1"/>
  <c r="E114" i="1"/>
  <c r="E61" i="1"/>
  <c r="E235" i="1" s="1"/>
  <c r="I61" i="1"/>
  <c r="I235" i="1" s="1"/>
  <c r="I236" i="1" s="1"/>
  <c r="F114" i="1"/>
  <c r="F61" i="1"/>
  <c r="F235" i="1" s="1"/>
  <c r="F236" i="1" s="1"/>
  <c r="J112" i="1"/>
  <c r="J114" i="1" s="1"/>
  <c r="J239" i="1"/>
  <c r="J248" i="1"/>
  <c r="J247" i="1"/>
  <c r="J244" i="1"/>
  <c r="J245" i="1"/>
  <c r="K247" i="1"/>
  <c r="K248" i="1"/>
  <c r="K244" i="1"/>
  <c r="K245" i="1"/>
  <c r="P156" i="1"/>
  <c r="Q164" i="1"/>
  <c r="Q153" i="1"/>
  <c r="Q155" i="1"/>
  <c r="Q163" i="1" s="1"/>
  <c r="P76" i="1"/>
  <c r="Q76" i="1" s="1"/>
  <c r="R76" i="1" s="1"/>
  <c r="O162" i="1"/>
  <c r="P122" i="1"/>
  <c r="I63" i="1"/>
  <c r="I174" i="1"/>
  <c r="L167" i="1"/>
  <c r="L148" i="1"/>
  <c r="L162" i="1"/>
  <c r="P123" i="1"/>
  <c r="P128" i="1"/>
  <c r="P129" i="1"/>
  <c r="L97" i="1"/>
  <c r="H24" i="6" s="1"/>
  <c r="M127" i="1"/>
  <c r="M121" i="1"/>
  <c r="L127" i="1"/>
  <c r="L121" i="1"/>
  <c r="N94" i="1"/>
  <c r="P103" i="1"/>
  <c r="R29" i="1"/>
  <c r="Q95" i="1"/>
  <c r="Q100" i="1"/>
  <c r="Q144" i="1" s="1"/>
  <c r="Q40" i="1"/>
  <c r="Q96" i="1"/>
  <c r="Q102" i="1"/>
  <c r="Q145" i="1" s="1"/>
  <c r="P41" i="1"/>
  <c r="P46" i="1"/>
  <c r="P43" i="1"/>
  <c r="I141" i="1"/>
  <c r="I49" i="1"/>
  <c r="J26" i="1"/>
  <c r="I117" i="1"/>
  <c r="I92" i="1"/>
  <c r="E117" i="8" l="1"/>
  <c r="E82" i="8"/>
  <c r="J42" i="6"/>
  <c r="I42" i="6"/>
  <c r="L42" i="6"/>
  <c r="M42" i="6"/>
  <c r="K42" i="6"/>
  <c r="E12" i="2"/>
  <c r="H132" i="2" s="1"/>
  <c r="H129" i="2" s="1"/>
  <c r="O8" i="4"/>
  <c r="I95" i="2"/>
  <c r="L240" i="1"/>
  <c r="R23" i="4"/>
  <c r="N238" i="1"/>
  <c r="P23" i="4"/>
  <c r="Q33" i="8" s="1"/>
  <c r="O130" i="1"/>
  <c r="P130" i="1" s="1"/>
  <c r="K95" i="2" s="1"/>
  <c r="K143" i="1"/>
  <c r="K150" i="1" s="1"/>
  <c r="K170" i="1" s="1"/>
  <c r="K171" i="1" s="1"/>
  <c r="K235" i="1"/>
  <c r="K236" i="1" s="1"/>
  <c r="K80" i="1"/>
  <c r="G102" i="2" s="1"/>
  <c r="H99" i="2" s="1"/>
  <c r="W63" i="1"/>
  <c r="W225" i="1"/>
  <c r="T138" i="1"/>
  <c r="U233" i="1"/>
  <c r="U231" i="1"/>
  <c r="T251" i="1"/>
  <c r="T232" i="1"/>
  <c r="X26" i="1"/>
  <c r="I43" i="2" s="1"/>
  <c r="W23" i="1"/>
  <c r="W117" i="1"/>
  <c r="W92" i="1"/>
  <c r="W49" i="1"/>
  <c r="U132" i="1"/>
  <c r="U136" i="1" s="1"/>
  <c r="U124" i="1"/>
  <c r="J225" i="1"/>
  <c r="J23" i="1"/>
  <c r="J61" i="1"/>
  <c r="J235" i="1" s="1"/>
  <c r="J236" i="1" s="1"/>
  <c r="F143" i="1"/>
  <c r="F241" i="1"/>
  <c r="J143" i="1"/>
  <c r="J241" i="1"/>
  <c r="E143" i="1"/>
  <c r="E241" i="1"/>
  <c r="H143" i="1"/>
  <c r="H241" i="1"/>
  <c r="G143" i="1"/>
  <c r="G241" i="1"/>
  <c r="L105" i="1"/>
  <c r="M227" i="1"/>
  <c r="L227" i="1"/>
  <c r="M205" i="1"/>
  <c r="L205" i="1"/>
  <c r="Q156" i="1"/>
  <c r="Q122" i="1"/>
  <c r="J63" i="1"/>
  <c r="J174" i="1"/>
  <c r="R164" i="1"/>
  <c r="R153" i="1"/>
  <c r="R155" i="1"/>
  <c r="R163" i="1" s="1"/>
  <c r="M149" i="1"/>
  <c r="L149" i="1"/>
  <c r="Q123" i="1"/>
  <c r="N162" i="1"/>
  <c r="N167" i="1"/>
  <c r="N148" i="1"/>
  <c r="Q129" i="1"/>
  <c r="Q128" i="1"/>
  <c r="N97" i="1"/>
  <c r="O121" i="1"/>
  <c r="O127" i="1"/>
  <c r="N127" i="1"/>
  <c r="N121" i="1"/>
  <c r="Q103" i="1"/>
  <c r="Q43" i="1"/>
  <c r="Q41" i="1"/>
  <c r="Q46" i="1"/>
  <c r="R95" i="1"/>
  <c r="R100" i="1"/>
  <c r="R144" i="1" s="1"/>
  <c r="R40" i="1"/>
  <c r="R96" i="1"/>
  <c r="R102" i="1"/>
  <c r="R145" i="1" s="1"/>
  <c r="P94" i="1"/>
  <c r="P238" i="1" s="1"/>
  <c r="J141" i="1"/>
  <c r="J49" i="1"/>
  <c r="K26" i="1"/>
  <c r="K23" i="1" s="1"/>
  <c r="J117" i="1"/>
  <c r="V122" i="1" s="1"/>
  <c r="J92" i="1"/>
  <c r="P8" i="4" l="1"/>
  <c r="S8" i="4" s="1"/>
  <c r="F82" i="8"/>
  <c r="F117" i="8"/>
  <c r="H133" i="2"/>
  <c r="H130" i="2" s="1"/>
  <c r="I132" i="2"/>
  <c r="I129" i="2" s="1"/>
  <c r="Z8" i="4"/>
  <c r="O27" i="4"/>
  <c r="U8" i="4"/>
  <c r="R8" i="4"/>
  <c r="U27" i="4"/>
  <c r="R27" i="4"/>
  <c r="Q23" i="4"/>
  <c r="J95" i="2"/>
  <c r="Q130" i="1"/>
  <c r="L95" i="2" s="1"/>
  <c r="N240" i="1"/>
  <c r="S23" i="4"/>
  <c r="T33" i="8" s="1"/>
  <c r="I77" i="2"/>
  <c r="K82" i="1"/>
  <c r="K83" i="1" s="1"/>
  <c r="E21" i="2" s="1"/>
  <c r="V128" i="1"/>
  <c r="V119" i="1"/>
  <c r="V131" i="1"/>
  <c r="V121" i="1"/>
  <c r="V134" i="1"/>
  <c r="X225" i="1"/>
  <c r="X63" i="1"/>
  <c r="X49" i="1"/>
  <c r="U251" i="1"/>
  <c r="U232" i="1"/>
  <c r="T252" i="1"/>
  <c r="V127" i="1"/>
  <c r="V130" i="1"/>
  <c r="V120" i="1"/>
  <c r="Y26" i="1"/>
  <c r="J43" i="2" s="1"/>
  <c r="X23" i="1"/>
  <c r="X117" i="1"/>
  <c r="X92" i="1"/>
  <c r="X141" i="1"/>
  <c r="V123" i="1"/>
  <c r="E150" i="1"/>
  <c r="E170" i="1" s="1"/>
  <c r="E171" i="1" s="1"/>
  <c r="V129" i="1"/>
  <c r="U138" i="1"/>
  <c r="G150" i="1"/>
  <c r="G170" i="1" s="1"/>
  <c r="G171" i="1" s="1"/>
  <c r="H75" i="1"/>
  <c r="J75" i="1"/>
  <c r="J150" i="1"/>
  <c r="J170" i="1" s="1"/>
  <c r="J171" i="1" s="1"/>
  <c r="K75" i="1"/>
  <c r="H150" i="1"/>
  <c r="H170" i="1" s="1"/>
  <c r="H171" i="1" s="1"/>
  <c r="I75" i="1"/>
  <c r="F75" i="1"/>
  <c r="G75" i="1"/>
  <c r="F150" i="1"/>
  <c r="F170" i="1" s="1"/>
  <c r="F171" i="1" s="1"/>
  <c r="L247" i="1"/>
  <c r="L248" i="1"/>
  <c r="L112" i="1"/>
  <c r="L235" i="1"/>
  <c r="L239" i="1"/>
  <c r="N105" i="1"/>
  <c r="O227" i="1"/>
  <c r="N227" i="1"/>
  <c r="K174" i="1"/>
  <c r="K225" i="1"/>
  <c r="R122" i="1"/>
  <c r="R156" i="1"/>
  <c r="N205" i="1"/>
  <c r="O205" i="1"/>
  <c r="R123" i="1"/>
  <c r="O149" i="1"/>
  <c r="N149" i="1"/>
  <c r="P162" i="1"/>
  <c r="P167" i="1"/>
  <c r="P148" i="1"/>
  <c r="L26" i="1"/>
  <c r="K63" i="1"/>
  <c r="R129" i="1"/>
  <c r="R128" i="1"/>
  <c r="P97" i="1"/>
  <c r="P240" i="1" s="1"/>
  <c r="P127" i="1"/>
  <c r="P121" i="1"/>
  <c r="R103" i="1"/>
  <c r="R43" i="1"/>
  <c r="R41" i="1"/>
  <c r="R46" i="1"/>
  <c r="Q94" i="1"/>
  <c r="Q238" i="1" s="1"/>
  <c r="K141" i="1"/>
  <c r="K49" i="1"/>
  <c r="K117" i="1"/>
  <c r="K92" i="1"/>
  <c r="L23" i="1" l="1"/>
  <c r="L141" i="1"/>
  <c r="P27" i="4"/>
  <c r="W31" i="8" s="1"/>
  <c r="S27" i="4"/>
  <c r="Z31" i="8" s="1"/>
  <c r="Q5" i="8"/>
  <c r="T31" i="8"/>
  <c r="V27" i="4"/>
  <c r="V8" i="4"/>
  <c r="AA8" i="4"/>
  <c r="G117" i="8"/>
  <c r="G82" i="8"/>
  <c r="Q31" i="8"/>
  <c r="Q4" i="8"/>
  <c r="X23" i="4"/>
  <c r="Q46" i="8" s="1"/>
  <c r="R46" i="8" s="1"/>
  <c r="R33" i="8"/>
  <c r="B15" i="6"/>
  <c r="B42" i="7" s="1"/>
  <c r="B12" i="6"/>
  <c r="B45" i="7" s="1"/>
  <c r="B18" i="6"/>
  <c r="B39" i="7" s="1"/>
  <c r="B13" i="6"/>
  <c r="B44" i="7" s="1"/>
  <c r="I133" i="2"/>
  <c r="I130" i="2" s="1"/>
  <c r="J132" i="2"/>
  <c r="J129" i="2" s="1"/>
  <c r="J77" i="2"/>
  <c r="Q8" i="4"/>
  <c r="P5" i="8" s="1"/>
  <c r="M23" i="4"/>
  <c r="N23" i="4" s="1"/>
  <c r="E31" i="6"/>
  <c r="T23" i="4"/>
  <c r="R130" i="1"/>
  <c r="L80" i="1"/>
  <c r="L113" i="1"/>
  <c r="L114" i="1" s="1"/>
  <c r="L81" i="1"/>
  <c r="V233" i="1"/>
  <c r="Y63" i="1"/>
  <c r="Y225" i="1"/>
  <c r="V124" i="1"/>
  <c r="V231" i="1"/>
  <c r="U252" i="1"/>
  <c r="Z26" i="1"/>
  <c r="K43" i="2" s="1"/>
  <c r="Y23" i="1"/>
  <c r="Y117" i="1"/>
  <c r="Y92" i="1"/>
  <c r="Y49" i="1"/>
  <c r="Y141" i="1"/>
  <c r="V132" i="1"/>
  <c r="V136" i="1" s="1"/>
  <c r="N239" i="1"/>
  <c r="N235" i="1"/>
  <c r="P105" i="1"/>
  <c r="P227" i="1"/>
  <c r="L49" i="1"/>
  <c r="L225" i="1"/>
  <c r="P205" i="1"/>
  <c r="L174" i="1"/>
  <c r="L92" i="1"/>
  <c r="M26" i="1"/>
  <c r="M23" i="1" s="1"/>
  <c r="Q162" i="1"/>
  <c r="Q167" i="1"/>
  <c r="Q148" i="1"/>
  <c r="P149" i="1"/>
  <c r="Q97" i="1"/>
  <c r="Q240" i="1" s="1"/>
  <c r="Q121" i="1"/>
  <c r="Q127" i="1"/>
  <c r="L63" i="1"/>
  <c r="L117" i="1"/>
  <c r="R94" i="1"/>
  <c r="R238" i="1" s="1"/>
  <c r="B19" i="6" l="1"/>
  <c r="B38" i="7" s="1"/>
  <c r="L82" i="1"/>
  <c r="L83" i="1" s="1"/>
  <c r="M80" i="1" s="1"/>
  <c r="B16" i="6"/>
  <c r="B41" i="7" s="1"/>
  <c r="R31" i="8"/>
  <c r="R4" i="8"/>
  <c r="P23" i="8"/>
  <c r="P22" i="8"/>
  <c r="P20" i="8"/>
  <c r="P19" i="8"/>
  <c r="P4" i="8"/>
  <c r="K77" i="2"/>
  <c r="H117" i="8"/>
  <c r="H82" i="8"/>
  <c r="Y23" i="4"/>
  <c r="T46" i="8" s="1"/>
  <c r="U46" i="8" s="1"/>
  <c r="U33" i="8"/>
  <c r="T27" i="4"/>
  <c r="T8" i="4"/>
  <c r="AB8" i="4"/>
  <c r="W27" i="4"/>
  <c r="Q27" i="4"/>
  <c r="W8" i="4"/>
  <c r="J133" i="2"/>
  <c r="J130" i="2" s="1"/>
  <c r="K132" i="2"/>
  <c r="K129" i="2" s="1"/>
  <c r="Q42" i="4"/>
  <c r="T42" i="4"/>
  <c r="L143" i="1"/>
  <c r="L161" i="1" s="1"/>
  <c r="N42" i="4"/>
  <c r="E27" i="2"/>
  <c r="J24" i="6"/>
  <c r="J35" i="7" s="1"/>
  <c r="M23" i="6"/>
  <c r="M36" i="7" s="1"/>
  <c r="L23" i="6"/>
  <c r="L36" i="7" s="1"/>
  <c r="K23" i="6"/>
  <c r="K36" i="7" s="1"/>
  <c r="L24" i="6"/>
  <c r="L35" i="7" s="1"/>
  <c r="I24" i="6"/>
  <c r="I35" i="7" s="1"/>
  <c r="N35" i="7" s="1"/>
  <c r="J23" i="6"/>
  <c r="J36" i="7" s="1"/>
  <c r="K24" i="6"/>
  <c r="K35" i="7" s="1"/>
  <c r="I23" i="6"/>
  <c r="I36" i="7" s="1"/>
  <c r="N36" i="7" s="1"/>
  <c r="M24" i="6"/>
  <c r="M35" i="7" s="1"/>
  <c r="L241" i="1"/>
  <c r="Z225" i="1"/>
  <c r="Z63" i="1"/>
  <c r="V138" i="1"/>
  <c r="V251" i="1"/>
  <c r="V232" i="1"/>
  <c r="W121" i="1"/>
  <c r="W123" i="1"/>
  <c r="W122" i="1"/>
  <c r="W129" i="1"/>
  <c r="W130" i="1"/>
  <c r="W128" i="1"/>
  <c r="W127" i="1"/>
  <c r="AA26" i="1"/>
  <c r="L43" i="2" s="1"/>
  <c r="Z23" i="1"/>
  <c r="Z117" i="1"/>
  <c r="Z92" i="1"/>
  <c r="Z49" i="1"/>
  <c r="P239" i="1"/>
  <c r="P235" i="1"/>
  <c r="Q105" i="1"/>
  <c r="Q227" i="1"/>
  <c r="M63" i="1"/>
  <c r="M225" i="1"/>
  <c r="M117" i="1"/>
  <c r="Q149" i="1"/>
  <c r="Q205" i="1"/>
  <c r="M174" i="1"/>
  <c r="M141" i="1"/>
  <c r="N26" i="1"/>
  <c r="N23" i="1" s="1"/>
  <c r="M49" i="1"/>
  <c r="M92" i="1"/>
  <c r="R162" i="1"/>
  <c r="R167" i="1"/>
  <c r="R148" i="1"/>
  <c r="R97" i="1"/>
  <c r="R240" i="1" s="1"/>
  <c r="R127" i="1"/>
  <c r="R121" i="1"/>
  <c r="L85" i="1" l="1"/>
  <c r="L87" i="1" s="1"/>
  <c r="L89" i="1" s="1"/>
  <c r="L147" i="1" s="1"/>
  <c r="L120" i="1" s="1"/>
  <c r="W120" i="1" s="1"/>
  <c r="X31" i="8"/>
  <c r="W43" i="8"/>
  <c r="I117" i="8"/>
  <c r="I82" i="8"/>
  <c r="U31" i="8"/>
  <c r="R5" i="8"/>
  <c r="AA31" i="8"/>
  <c r="Z43" i="8"/>
  <c r="X33" i="8"/>
  <c r="W46" i="8"/>
  <c r="X46" i="8" s="1"/>
  <c r="AA33" i="8"/>
  <c r="Z46" i="8"/>
  <c r="AA46" i="8" s="1"/>
  <c r="B17" i="6"/>
  <c r="B40" i="7" s="1"/>
  <c r="B20" i="6"/>
  <c r="B37" i="7" s="1"/>
  <c r="B14" i="6"/>
  <c r="B43" i="7" s="1"/>
  <c r="K133" i="2"/>
  <c r="K130" i="2" s="1"/>
  <c r="L132" i="2"/>
  <c r="L129" i="2" s="1"/>
  <c r="R35" i="7"/>
  <c r="P35" i="7"/>
  <c r="R36" i="7"/>
  <c r="Q35" i="7"/>
  <c r="P36" i="7"/>
  <c r="Q36" i="7"/>
  <c r="O36" i="7"/>
  <c r="O35" i="7"/>
  <c r="L77" i="2"/>
  <c r="M43" i="2"/>
  <c r="AA63" i="1"/>
  <c r="AA225" i="1"/>
  <c r="V252" i="1"/>
  <c r="AA117" i="1"/>
  <c r="AA92" i="1"/>
  <c r="AA49" i="1"/>
  <c r="AA23" i="1"/>
  <c r="AA141" i="1"/>
  <c r="Q235" i="1"/>
  <c r="Q239" i="1"/>
  <c r="R105" i="1"/>
  <c r="R227" i="1"/>
  <c r="N117" i="1"/>
  <c r="N225" i="1"/>
  <c r="N63" i="1"/>
  <c r="R205" i="1"/>
  <c r="N174" i="1"/>
  <c r="N141" i="1"/>
  <c r="N92" i="1"/>
  <c r="N49" i="1"/>
  <c r="O26" i="1"/>
  <c r="O23" i="1" s="1"/>
  <c r="R149" i="1"/>
  <c r="L133" i="2" l="1"/>
  <c r="L130" i="2" s="1"/>
  <c r="M132" i="2"/>
  <c r="M129" i="2" s="1"/>
  <c r="L150" i="1"/>
  <c r="L206" i="1" s="1"/>
  <c r="L208" i="1" s="1"/>
  <c r="L213" i="1" s="1"/>
  <c r="L218" i="1" s="1"/>
  <c r="J117" i="8"/>
  <c r="J82" i="8"/>
  <c r="N43" i="2"/>
  <c r="M77" i="2"/>
  <c r="X129" i="1"/>
  <c r="X127" i="1"/>
  <c r="X128" i="1"/>
  <c r="X123" i="1"/>
  <c r="X122" i="1"/>
  <c r="X121" i="1"/>
  <c r="R235" i="1"/>
  <c r="R239" i="1"/>
  <c r="O63" i="1"/>
  <c r="O225" i="1"/>
  <c r="O92" i="1"/>
  <c r="P26" i="1"/>
  <c r="O174" i="1"/>
  <c r="O141" i="1"/>
  <c r="O49" i="1"/>
  <c r="O117" i="1"/>
  <c r="N132" i="2" l="1"/>
  <c r="N129" i="2" s="1"/>
  <c r="M133" i="2"/>
  <c r="M130" i="2" s="1"/>
  <c r="L222" i="1"/>
  <c r="L159" i="1" s="1"/>
  <c r="L134" i="1" s="1"/>
  <c r="L212" i="1"/>
  <c r="L215" i="1" s="1"/>
  <c r="L210" i="1"/>
  <c r="K117" i="8"/>
  <c r="K82" i="8"/>
  <c r="O43" i="2"/>
  <c r="N77" i="2"/>
  <c r="P225" i="1"/>
  <c r="P23" i="1"/>
  <c r="Q26" i="1"/>
  <c r="P174" i="1"/>
  <c r="P141" i="1"/>
  <c r="P49" i="1"/>
  <c r="P92" i="1"/>
  <c r="P117" i="1"/>
  <c r="Y123" i="1" s="1"/>
  <c r="P63" i="1"/>
  <c r="N133" i="2" l="1"/>
  <c r="N130" i="2" s="1"/>
  <c r="O132" i="2"/>
  <c r="O129" i="2" s="1"/>
  <c r="L221" i="1"/>
  <c r="L160" i="1" s="1"/>
  <c r="L165" i="1" s="1"/>
  <c r="L170" i="1" s="1"/>
  <c r="L171" i="1" s="1"/>
  <c r="L119" i="1" s="1"/>
  <c r="W119" i="1" s="1"/>
  <c r="W124" i="1" s="1"/>
  <c r="L117" i="8"/>
  <c r="L82" i="8"/>
  <c r="O77" i="2"/>
  <c r="P43" i="2"/>
  <c r="L216" i="1"/>
  <c r="L177" i="1" s="1"/>
  <c r="Y129" i="1"/>
  <c r="Y121" i="1"/>
  <c r="Y130" i="1"/>
  <c r="Y122" i="1"/>
  <c r="Y127" i="1"/>
  <c r="Y128" i="1"/>
  <c r="W134" i="1"/>
  <c r="Q225" i="1"/>
  <c r="Q23" i="1"/>
  <c r="L176" i="1"/>
  <c r="Q117" i="1"/>
  <c r="Z123" i="1" s="1"/>
  <c r="Q141" i="1"/>
  <c r="Q63" i="1"/>
  <c r="Q174" i="1"/>
  <c r="R26" i="1"/>
  <c r="Q49" i="1"/>
  <c r="Q92" i="1"/>
  <c r="O133" i="2" l="1"/>
  <c r="O130" i="2" s="1"/>
  <c r="P132" i="2"/>
  <c r="P129" i="2" s="1"/>
  <c r="L131" i="1"/>
  <c r="W131" i="1" s="1"/>
  <c r="M117" i="8"/>
  <c r="M82" i="8"/>
  <c r="Z127" i="1"/>
  <c r="Q43" i="2"/>
  <c r="P77" i="2"/>
  <c r="Z121" i="1"/>
  <c r="M185" i="1"/>
  <c r="Z130" i="1"/>
  <c r="L217" i="1"/>
  <c r="L178" i="1" s="1"/>
  <c r="L179" i="1" s="1"/>
  <c r="M200" i="1"/>
  <c r="M202" i="1" s="1"/>
  <c r="Z129" i="1"/>
  <c r="L124" i="1"/>
  <c r="M195" i="1"/>
  <c r="M108" i="1" s="1"/>
  <c r="M169" i="1"/>
  <c r="Z122" i="1"/>
  <c r="Z128" i="1"/>
  <c r="R225" i="1"/>
  <c r="R23" i="1"/>
  <c r="AA43" i="1" s="1"/>
  <c r="L55" i="2" s="1"/>
  <c r="R63" i="1"/>
  <c r="R141" i="1"/>
  <c r="R174" i="1"/>
  <c r="R92" i="1"/>
  <c r="R49" i="1"/>
  <c r="R117" i="1"/>
  <c r="AA129" i="1" s="1"/>
  <c r="Q132" i="2" l="1"/>
  <c r="Q129" i="2" s="1"/>
  <c r="P133" i="2"/>
  <c r="P130" i="2" s="1"/>
  <c r="L231" i="1"/>
  <c r="L251" i="1" s="1"/>
  <c r="L233" i="1"/>
  <c r="L236" i="1" s="1"/>
  <c r="L132" i="1"/>
  <c r="L136" i="1" s="1"/>
  <c r="L138" i="1" s="1"/>
  <c r="Q77" i="2"/>
  <c r="N117" i="8"/>
  <c r="N82" i="8"/>
  <c r="L219" i="1"/>
  <c r="M196" i="1"/>
  <c r="M109" i="1" s="1"/>
  <c r="M228" i="1" s="1"/>
  <c r="M247" i="1" s="1"/>
  <c r="Y154" i="1"/>
  <c r="Z102" i="1"/>
  <c r="K88" i="2" s="1"/>
  <c r="Y102" i="1"/>
  <c r="J88" i="2" s="1"/>
  <c r="AA96" i="1"/>
  <c r="L81" i="2" s="1"/>
  <c r="Y164" i="1"/>
  <c r="AA148" i="1"/>
  <c r="AA149" i="1"/>
  <c r="L114" i="2" s="1"/>
  <c r="AA29" i="1"/>
  <c r="L45" i="2" s="1"/>
  <c r="W132" i="1"/>
  <c r="W136" i="1" s="1"/>
  <c r="W138" i="1" s="1"/>
  <c r="W231" i="1"/>
  <c r="W233" i="1"/>
  <c r="Y148" i="1"/>
  <c r="Y155" i="1"/>
  <c r="Y144" i="1"/>
  <c r="Y101" i="1"/>
  <c r="Z40" i="1"/>
  <c r="Y163" i="1"/>
  <c r="Y96" i="1"/>
  <c r="J81" i="2" s="1"/>
  <c r="Z43" i="1"/>
  <c r="K55" i="2" s="1"/>
  <c r="AA154" i="1"/>
  <c r="Z163" i="1"/>
  <c r="Z164" i="1"/>
  <c r="X130" i="1"/>
  <c r="AA130" i="1"/>
  <c r="AA122" i="1"/>
  <c r="AA128" i="1"/>
  <c r="AA127" i="1"/>
  <c r="AA121" i="1"/>
  <c r="Z153" i="1"/>
  <c r="K118" i="2" s="1"/>
  <c r="AA40" i="1"/>
  <c r="AA162" i="1"/>
  <c r="Y46" i="1"/>
  <c r="J58" i="2" s="1"/>
  <c r="Z101" i="1"/>
  <c r="AA46" i="1"/>
  <c r="L58" i="2" s="1"/>
  <c r="Y43" i="1"/>
  <c r="J55" i="2" s="1"/>
  <c r="T94" i="1"/>
  <c r="E79" i="2" s="1"/>
  <c r="T153" i="1"/>
  <c r="E118" i="2" s="1"/>
  <c r="U162" i="1"/>
  <c r="T160" i="1"/>
  <c r="T101" i="1"/>
  <c r="T144" i="1"/>
  <c r="T96" i="1"/>
  <c r="E81" i="2" s="1"/>
  <c r="T149" i="1"/>
  <c r="E114" i="2" s="1"/>
  <c r="T102" i="1"/>
  <c r="E88" i="2" s="1"/>
  <c r="T146" i="1"/>
  <c r="T113" i="1"/>
  <c r="T40" i="1"/>
  <c r="T164" i="1"/>
  <c r="T95" i="1"/>
  <c r="E80" i="2" s="1"/>
  <c r="T159" i="1"/>
  <c r="T46" i="1"/>
  <c r="E58" i="2" s="1"/>
  <c r="U153" i="1"/>
  <c r="F118" i="2" s="1"/>
  <c r="U161" i="1"/>
  <c r="T145" i="1"/>
  <c r="T155" i="1"/>
  <c r="T108" i="1"/>
  <c r="T148" i="1"/>
  <c r="U155" i="1"/>
  <c r="T43" i="1"/>
  <c r="E55" i="2" s="1"/>
  <c r="U43" i="1"/>
  <c r="F55" i="2" s="1"/>
  <c r="U154" i="1"/>
  <c r="T154" i="1"/>
  <c r="V160" i="1"/>
  <c r="T167" i="1"/>
  <c r="U40" i="1"/>
  <c r="T162" i="1"/>
  <c r="T147" i="1"/>
  <c r="T29" i="1"/>
  <c r="E45" i="2" s="1"/>
  <c r="T161" i="1"/>
  <c r="U144" i="1"/>
  <c r="T109" i="1"/>
  <c r="T228" i="1" s="1"/>
  <c r="U148" i="1"/>
  <c r="U143" i="1"/>
  <c r="T163" i="1"/>
  <c r="U164" i="1"/>
  <c r="V109" i="1"/>
  <c r="V228" i="1" s="1"/>
  <c r="U102" i="1"/>
  <c r="F88" i="2" s="1"/>
  <c r="U29" i="1"/>
  <c r="F45" i="2" s="1"/>
  <c r="V43" i="1"/>
  <c r="G55" i="2" s="1"/>
  <c r="U96" i="1"/>
  <c r="F81" i="2" s="1"/>
  <c r="V161" i="1"/>
  <c r="V147" i="1"/>
  <c r="U147" i="1"/>
  <c r="U159" i="1"/>
  <c r="V163" i="1"/>
  <c r="U101" i="1"/>
  <c r="U109" i="1"/>
  <c r="U228" i="1" s="1"/>
  <c r="V101" i="1"/>
  <c r="V167" i="1"/>
  <c r="V145" i="1"/>
  <c r="T100" i="1"/>
  <c r="E87" i="2" s="1"/>
  <c r="V164" i="1"/>
  <c r="U160" i="1"/>
  <c r="V155" i="1"/>
  <c r="V96" i="1"/>
  <c r="G81" i="2" s="1"/>
  <c r="V148" i="1"/>
  <c r="U113" i="1"/>
  <c r="V100" i="1"/>
  <c r="G87" i="2" s="1"/>
  <c r="U94" i="1"/>
  <c r="F79" i="2" s="1"/>
  <c r="V102" i="1"/>
  <c r="G88" i="2" s="1"/>
  <c r="U100" i="1"/>
  <c r="F87" i="2" s="1"/>
  <c r="V159" i="1"/>
  <c r="U146" i="1"/>
  <c r="V95" i="1"/>
  <c r="G80" i="2" s="1"/>
  <c r="U46" i="1"/>
  <c r="F58" i="2" s="1"/>
  <c r="U95" i="1"/>
  <c r="F80" i="2" s="1"/>
  <c r="V154" i="1"/>
  <c r="V162" i="1"/>
  <c r="U145" i="1"/>
  <c r="V153" i="1"/>
  <c r="G118" i="2" s="1"/>
  <c r="U108" i="1"/>
  <c r="V29" i="1"/>
  <c r="G45" i="2" s="1"/>
  <c r="V149" i="1"/>
  <c r="G114" i="2" s="1"/>
  <c r="U167" i="1"/>
  <c r="V146" i="1"/>
  <c r="V144" i="1"/>
  <c r="V94" i="1"/>
  <c r="G79" i="2" s="1"/>
  <c r="U163" i="1"/>
  <c r="W101" i="1"/>
  <c r="W109" i="1"/>
  <c r="W228" i="1" s="1"/>
  <c r="W144" i="1"/>
  <c r="W164" i="1"/>
  <c r="W162" i="1"/>
  <c r="W167" i="1"/>
  <c r="X102" i="1"/>
  <c r="I88" i="2" s="1"/>
  <c r="W163" i="1"/>
  <c r="W29" i="1"/>
  <c r="H45" i="2" s="1"/>
  <c r="V143" i="1"/>
  <c r="V108" i="1"/>
  <c r="W161" i="1"/>
  <c r="W108" i="1"/>
  <c r="W154" i="1"/>
  <c r="W153" i="1"/>
  <c r="H118" i="2" s="1"/>
  <c r="W40" i="1"/>
  <c r="V46" i="1"/>
  <c r="G58" i="2" s="1"/>
  <c r="W95" i="1"/>
  <c r="H80" i="2" s="1"/>
  <c r="V113" i="1"/>
  <c r="W43" i="1"/>
  <c r="H55" i="2" s="1"/>
  <c r="V40" i="1"/>
  <c r="W155" i="1"/>
  <c r="W148" i="1"/>
  <c r="T143" i="1"/>
  <c r="U149" i="1"/>
  <c r="F114" i="2" s="1"/>
  <c r="X94" i="1"/>
  <c r="I79" i="2" s="1"/>
  <c r="X163" i="1"/>
  <c r="X46" i="1"/>
  <c r="I58" i="2" s="1"/>
  <c r="X101" i="1"/>
  <c r="X29" i="1"/>
  <c r="I45" i="2" s="1"/>
  <c r="X149" i="1"/>
  <c r="I114" i="2" s="1"/>
  <c r="X155" i="1"/>
  <c r="X154" i="1"/>
  <c r="W147" i="1"/>
  <c r="W102" i="1"/>
  <c r="H88" i="2" s="1"/>
  <c r="X96" i="1"/>
  <c r="I81" i="2" s="1"/>
  <c r="X40" i="1"/>
  <c r="X148" i="1"/>
  <c r="X153" i="1"/>
  <c r="I118" i="2" s="1"/>
  <c r="X162" i="1"/>
  <c r="W145" i="1"/>
  <c r="X164" i="1"/>
  <c r="X43" i="1"/>
  <c r="I55" i="2" s="1"/>
  <c r="W100" i="1"/>
  <c r="H87" i="2" s="1"/>
  <c r="Y29" i="1"/>
  <c r="J45" i="2" s="1"/>
  <c r="X144" i="1"/>
  <c r="W146" i="1"/>
  <c r="W46" i="1"/>
  <c r="H58" i="2" s="1"/>
  <c r="W94" i="1"/>
  <c r="H79" i="2" s="1"/>
  <c r="AA144" i="1"/>
  <c r="W149" i="1"/>
  <c r="H114" i="2" s="1"/>
  <c r="W113" i="1"/>
  <c r="X100" i="1"/>
  <c r="I87" i="2" s="1"/>
  <c r="Y162" i="1"/>
  <c r="AA145" i="1"/>
  <c r="W159" i="1"/>
  <c r="Z96" i="1"/>
  <c r="K81" i="2" s="1"/>
  <c r="Z167" i="1"/>
  <c r="X95" i="1"/>
  <c r="I80" i="2" s="1"/>
  <c r="X145" i="1"/>
  <c r="Z148" i="1"/>
  <c r="Z144" i="1"/>
  <c r="W96" i="1"/>
  <c r="H81" i="2" s="1"/>
  <c r="W143" i="1"/>
  <c r="X167" i="1"/>
  <c r="AA123" i="1"/>
  <c r="AA94" i="1"/>
  <c r="L79" i="2" s="1"/>
  <c r="Z29" i="1"/>
  <c r="K45" i="2" s="1"/>
  <c r="W160" i="1"/>
  <c r="Z94" i="1"/>
  <c r="K79" i="2" s="1"/>
  <c r="Y40" i="1"/>
  <c r="AA101" i="1"/>
  <c r="Z155" i="1"/>
  <c r="Y94" i="1"/>
  <c r="J79" i="2" s="1"/>
  <c r="Z100" i="1"/>
  <c r="K87" i="2" s="1"/>
  <c r="Z46" i="1"/>
  <c r="K58" i="2" s="1"/>
  <c r="AA163" i="1"/>
  <c r="AA102" i="1"/>
  <c r="L88" i="2" s="1"/>
  <c r="AA155" i="1"/>
  <c r="Z145" i="1"/>
  <c r="Y95" i="1"/>
  <c r="J80" i="2" s="1"/>
  <c r="Y167" i="1"/>
  <c r="Z162" i="1"/>
  <c r="Y149" i="1"/>
  <c r="J114" i="2" s="1"/>
  <c r="Z154" i="1"/>
  <c r="AA95" i="1"/>
  <c r="L80" i="2" s="1"/>
  <c r="Z149" i="1"/>
  <c r="K114" i="2" s="1"/>
  <c r="Y145" i="1"/>
  <c r="AA167" i="1"/>
  <c r="Y100" i="1"/>
  <c r="J87" i="2" s="1"/>
  <c r="AA153" i="1"/>
  <c r="L118" i="2" s="1"/>
  <c r="Z95" i="1"/>
  <c r="K80" i="2" s="1"/>
  <c r="AA164" i="1"/>
  <c r="Y153" i="1"/>
  <c r="J118" i="2" s="1"/>
  <c r="AA100" i="1"/>
  <c r="L87" i="2" s="1"/>
  <c r="Q133" i="2" l="1"/>
  <c r="Q130" i="2" s="1"/>
  <c r="L244" i="1"/>
  <c r="L232" i="1"/>
  <c r="L252" i="1" s="1"/>
  <c r="X77" i="1"/>
  <c r="X71" i="1"/>
  <c r="G61" i="2"/>
  <c r="F61" i="2"/>
  <c r="F63" i="2"/>
  <c r="E116" i="2"/>
  <c r="J61" i="2"/>
  <c r="L63" i="2"/>
  <c r="H61" i="2"/>
  <c r="L61" i="2"/>
  <c r="H63" i="2"/>
  <c r="L111" i="2"/>
  <c r="L112" i="2" s="1"/>
  <c r="L72" i="2"/>
  <c r="K61" i="2"/>
  <c r="I61" i="2"/>
  <c r="H111" i="2"/>
  <c r="H112" i="2" s="1"/>
  <c r="H72" i="2"/>
  <c r="G82" i="2"/>
  <c r="G84" i="2"/>
  <c r="L120" i="2"/>
  <c r="L119" i="2"/>
  <c r="L71" i="2"/>
  <c r="K63" i="2"/>
  <c r="J69" i="2"/>
  <c r="H69" i="2"/>
  <c r="E89" i="2"/>
  <c r="E68" i="2"/>
  <c r="M45" i="2"/>
  <c r="M81" i="2" s="1"/>
  <c r="L69" i="2"/>
  <c r="K69" i="2"/>
  <c r="H68" i="2"/>
  <c r="H89" i="2"/>
  <c r="F69" i="2"/>
  <c r="E63" i="2"/>
  <c r="J63" i="2"/>
  <c r="L115" i="2"/>
  <c r="L116" i="2"/>
  <c r="L84" i="2"/>
  <c r="L82" i="2"/>
  <c r="I115" i="2"/>
  <c r="I116" i="2"/>
  <c r="I111" i="2"/>
  <c r="I112" i="2" s="1"/>
  <c r="I72" i="2"/>
  <c r="G116" i="2"/>
  <c r="G115" i="2"/>
  <c r="F89" i="2"/>
  <c r="F68" i="2"/>
  <c r="F111" i="2"/>
  <c r="F112" i="2" s="1"/>
  <c r="F72" i="2"/>
  <c r="K119" i="2"/>
  <c r="K71" i="2"/>
  <c r="K120" i="2"/>
  <c r="K115" i="2"/>
  <c r="K116" i="2"/>
  <c r="G69" i="2"/>
  <c r="G72" i="2"/>
  <c r="G111" i="2"/>
  <c r="G112" i="2" s="1"/>
  <c r="F71" i="2"/>
  <c r="F119" i="2"/>
  <c r="F120" i="2"/>
  <c r="K82" i="2"/>
  <c r="K84" i="2"/>
  <c r="F82" i="2"/>
  <c r="F84" i="2"/>
  <c r="G119" i="2"/>
  <c r="G120" i="2"/>
  <c r="G71" i="2"/>
  <c r="G89" i="2"/>
  <c r="G68" i="2"/>
  <c r="J72" i="2"/>
  <c r="J111" i="2"/>
  <c r="J112" i="2" s="1"/>
  <c r="J68" i="2"/>
  <c r="J89" i="2"/>
  <c r="I69" i="2"/>
  <c r="J115" i="2"/>
  <c r="J116" i="2"/>
  <c r="K68" i="2"/>
  <c r="K89" i="2"/>
  <c r="H115" i="2"/>
  <c r="H116" i="2"/>
  <c r="I119" i="2"/>
  <c r="I120" i="2"/>
  <c r="I71" i="2"/>
  <c r="H120" i="2"/>
  <c r="H119" i="2"/>
  <c r="H71" i="2"/>
  <c r="E61" i="2"/>
  <c r="E120" i="2"/>
  <c r="E71" i="2"/>
  <c r="K111" i="2"/>
  <c r="K112" i="2" s="1"/>
  <c r="K72" i="2"/>
  <c r="L68" i="2"/>
  <c r="L89" i="2"/>
  <c r="J84" i="2"/>
  <c r="J82" i="2"/>
  <c r="I84" i="2"/>
  <c r="I82" i="2"/>
  <c r="E82" i="2"/>
  <c r="E111" i="2"/>
  <c r="E112" i="2" s="1"/>
  <c r="E72" i="2"/>
  <c r="I89" i="2"/>
  <c r="I68" i="2"/>
  <c r="J71" i="2"/>
  <c r="J119" i="2"/>
  <c r="J120" i="2"/>
  <c r="H82" i="2"/>
  <c r="H84" i="2"/>
  <c r="F115" i="2"/>
  <c r="F116" i="2"/>
  <c r="G63" i="2"/>
  <c r="I63" i="2"/>
  <c r="M197" i="1"/>
  <c r="M110" i="1"/>
  <c r="M146" i="1" s="1"/>
  <c r="AA59" i="1"/>
  <c r="AA73" i="1"/>
  <c r="AA51" i="1"/>
  <c r="T44" i="1"/>
  <c r="U238" i="1"/>
  <c r="Y77" i="1"/>
  <c r="Z76" i="1"/>
  <c r="T47" i="1"/>
  <c r="W238" i="1"/>
  <c r="Y78" i="1"/>
  <c r="AA53" i="1"/>
  <c r="Y238" i="1"/>
  <c r="Z67" i="1"/>
  <c r="Z30" i="1"/>
  <c r="K46" i="2" s="1"/>
  <c r="W73" i="1"/>
  <c r="W76" i="1"/>
  <c r="Y59" i="1"/>
  <c r="X30" i="1"/>
  <c r="I46" i="2" s="1"/>
  <c r="AA77" i="1"/>
  <c r="X47" i="1"/>
  <c r="W77" i="1"/>
  <c r="W53" i="1"/>
  <c r="V47" i="1"/>
  <c r="V30" i="1"/>
  <c r="G46" i="2" s="1"/>
  <c r="U77" i="1"/>
  <c r="Z73" i="1"/>
  <c r="W59" i="1"/>
  <c r="Z53" i="1"/>
  <c r="X238" i="1"/>
  <c r="V76" i="1"/>
  <c r="X78" i="1"/>
  <c r="AA78" i="1"/>
  <c r="X76" i="1"/>
  <c r="X53" i="1"/>
  <c r="V110" i="1"/>
  <c r="V229" i="1" s="1"/>
  <c r="U110" i="1"/>
  <c r="T76" i="1"/>
  <c r="Z47" i="1"/>
  <c r="W150" i="1"/>
  <c r="T78" i="1"/>
  <c r="U44" i="1"/>
  <c r="W110" i="1"/>
  <c r="W229" i="1" s="1"/>
  <c r="W47" i="1"/>
  <c r="T150" i="1"/>
  <c r="U73" i="1"/>
  <c r="AA47" i="1"/>
  <c r="V238" i="1"/>
  <c r="U47" i="1"/>
  <c r="T71" i="1"/>
  <c r="Z238" i="1"/>
  <c r="V150" i="1"/>
  <c r="U53" i="1"/>
  <c r="W251" i="1"/>
  <c r="W232" i="1"/>
  <c r="AA238" i="1"/>
  <c r="Y76" i="1"/>
  <c r="W51" i="1"/>
  <c r="W67" i="1"/>
  <c r="W68" i="1"/>
  <c r="W78" i="1"/>
  <c r="V59" i="1"/>
  <c r="U72" i="1"/>
  <c r="U156" i="1"/>
  <c r="Z156" i="1"/>
  <c r="Z72" i="1"/>
  <c r="Y53" i="1"/>
  <c r="X103" i="1"/>
  <c r="X58" i="1"/>
  <c r="U97" i="1"/>
  <c r="U66" i="1"/>
  <c r="U65" i="1"/>
  <c r="AA65" i="1"/>
  <c r="AA156" i="1"/>
  <c r="AA72" i="1"/>
  <c r="W41" i="1"/>
  <c r="W35" i="1"/>
  <c r="H51" i="2" s="1"/>
  <c r="H53" i="2" s="1"/>
  <c r="V72" i="1"/>
  <c r="V156" i="1"/>
  <c r="V103" i="1"/>
  <c r="V58" i="1"/>
  <c r="T165" i="1"/>
  <c r="U76" i="1"/>
  <c r="AA66" i="1"/>
  <c r="Z41" i="1"/>
  <c r="Z35" i="1"/>
  <c r="K51" i="2" s="1"/>
  <c r="K53" i="2" s="1"/>
  <c r="Z71" i="1"/>
  <c r="X72" i="1"/>
  <c r="X156" i="1"/>
  <c r="W72" i="1"/>
  <c r="W156" i="1"/>
  <c r="U150" i="1"/>
  <c r="T51" i="1"/>
  <c r="T67" i="1"/>
  <c r="T68" i="1"/>
  <c r="T156" i="1"/>
  <c r="T72" i="1"/>
  <c r="AA67" i="1"/>
  <c r="X97" i="1"/>
  <c r="X65" i="1"/>
  <c r="X66" i="1"/>
  <c r="V71" i="1"/>
  <c r="U165" i="1"/>
  <c r="U71" i="1"/>
  <c r="T77" i="1"/>
  <c r="T97" i="1"/>
  <c r="T65" i="1"/>
  <c r="T66" i="1"/>
  <c r="Z59" i="1"/>
  <c r="Y97" i="1"/>
  <c r="Y65" i="1"/>
  <c r="Y66" i="1"/>
  <c r="Y41" i="1"/>
  <c r="Y35" i="1"/>
  <c r="J51" i="2" s="1"/>
  <c r="J53" i="2" s="1"/>
  <c r="X51" i="1"/>
  <c r="X67" i="1"/>
  <c r="X68" i="1"/>
  <c r="W97" i="1"/>
  <c r="W65" i="1"/>
  <c r="W66" i="1"/>
  <c r="X41" i="1"/>
  <c r="X35" i="1"/>
  <c r="I51" i="2" s="1"/>
  <c r="I53" i="2" s="1"/>
  <c r="I56" i="2" s="1"/>
  <c r="V53" i="1"/>
  <c r="T35" i="1"/>
  <c r="E51" i="2" s="1"/>
  <c r="E53" i="2" s="1"/>
  <c r="AA68" i="1"/>
  <c r="Z78" i="1"/>
  <c r="W75" i="1"/>
  <c r="U51" i="1"/>
  <c r="U68" i="1"/>
  <c r="U67" i="1"/>
  <c r="V73" i="1"/>
  <c r="Y44" i="1"/>
  <c r="Y73" i="1"/>
  <c r="Z58" i="1"/>
  <c r="Z103" i="1"/>
  <c r="Z97" i="1"/>
  <c r="Z65" i="1"/>
  <c r="Z66" i="1"/>
  <c r="W71" i="1"/>
  <c r="V97" i="1"/>
  <c r="V65" i="1"/>
  <c r="V66" i="1"/>
  <c r="V75" i="1"/>
  <c r="T75" i="1"/>
  <c r="Z51" i="1"/>
  <c r="Z68" i="1"/>
  <c r="V51" i="1"/>
  <c r="V67" i="1"/>
  <c r="V68" i="1"/>
  <c r="V77" i="1"/>
  <c r="T110" i="1"/>
  <c r="T229" i="1" s="1"/>
  <c r="T59" i="1"/>
  <c r="Z77" i="1"/>
  <c r="Y103" i="1"/>
  <c r="Y58" i="1"/>
  <c r="AA97" i="1"/>
  <c r="Y30" i="1"/>
  <c r="J46" i="2" s="1"/>
  <c r="V35" i="1"/>
  <c r="G51" i="2" s="1"/>
  <c r="G53" i="2" s="1"/>
  <c r="V41" i="1"/>
  <c r="W30" i="1"/>
  <c r="H46" i="2" s="1"/>
  <c r="T58" i="1"/>
  <c r="T103" i="1"/>
  <c r="V44" i="1"/>
  <c r="T73" i="1"/>
  <c r="Y47" i="1"/>
  <c r="Y71" i="1"/>
  <c r="Y51" i="1"/>
  <c r="Y68" i="1"/>
  <c r="Y67" i="1"/>
  <c r="AA58" i="1"/>
  <c r="AA103" i="1"/>
  <c r="W165" i="1"/>
  <c r="W103" i="1"/>
  <c r="W58" i="1"/>
  <c r="X73" i="1"/>
  <c r="W44" i="1"/>
  <c r="U78" i="1"/>
  <c r="V165" i="1"/>
  <c r="U30" i="1"/>
  <c r="F46" i="2" s="1"/>
  <c r="T53" i="1"/>
  <c r="AA76" i="1"/>
  <c r="AA71" i="1"/>
  <c r="Y72" i="1"/>
  <c r="Y156" i="1"/>
  <c r="AA30" i="1"/>
  <c r="L46" i="2" s="1"/>
  <c r="X44" i="1"/>
  <c r="X59" i="1"/>
  <c r="U103" i="1"/>
  <c r="U58" i="1"/>
  <c r="V78" i="1"/>
  <c r="U59" i="1"/>
  <c r="U35" i="1"/>
  <c r="F51" i="2" s="1"/>
  <c r="F53" i="2" s="1"/>
  <c r="U41" i="1"/>
  <c r="U75" i="1"/>
  <c r="AA41" i="1"/>
  <c r="AA35" i="1"/>
  <c r="L51" i="2" s="1"/>
  <c r="L53" i="2" s="1"/>
  <c r="Z44" i="1"/>
  <c r="AA44" i="1"/>
  <c r="L245" i="1" l="1"/>
  <c r="G59" i="2"/>
  <c r="G56" i="2"/>
  <c r="F56" i="2"/>
  <c r="F59" i="2"/>
  <c r="K56" i="2"/>
  <c r="K59" i="2"/>
  <c r="E56" i="2"/>
  <c r="E59" i="2"/>
  <c r="J59" i="2"/>
  <c r="J56" i="2"/>
  <c r="L59" i="2"/>
  <c r="L56" i="2"/>
  <c r="H59" i="2"/>
  <c r="H56" i="2"/>
  <c r="L135" i="2"/>
  <c r="L91" i="2"/>
  <c r="M53" i="2"/>
  <c r="M88" i="2"/>
  <c r="M111" i="2" s="1"/>
  <c r="N45" i="2"/>
  <c r="N81" i="2" s="1"/>
  <c r="M87" i="2"/>
  <c r="M118" i="2"/>
  <c r="M80" i="2"/>
  <c r="M95" i="2"/>
  <c r="M229" i="1"/>
  <c r="M248" i="1" s="1"/>
  <c r="G135" i="2"/>
  <c r="G91" i="2"/>
  <c r="E135" i="2"/>
  <c r="E137" i="2" s="1"/>
  <c r="E91" i="2"/>
  <c r="P42" i="4"/>
  <c r="W33" i="8" s="1"/>
  <c r="I59" i="2"/>
  <c r="O42" i="4"/>
  <c r="I135" i="2"/>
  <c r="I91" i="2"/>
  <c r="M112" i="1"/>
  <c r="M113" i="1" s="1"/>
  <c r="M114" i="1" s="1"/>
  <c r="H135" i="2"/>
  <c r="H91" i="2"/>
  <c r="J135" i="2"/>
  <c r="J91" i="2"/>
  <c r="K135" i="2"/>
  <c r="K91" i="2"/>
  <c r="F135" i="2"/>
  <c r="F91" i="2"/>
  <c r="V70" i="1"/>
  <c r="AA105" i="1"/>
  <c r="AA239" i="1" s="1"/>
  <c r="W170" i="1"/>
  <c r="T70" i="1"/>
  <c r="Z105" i="1"/>
  <c r="Z240" i="1"/>
  <c r="Z227" i="1"/>
  <c r="W252" i="1"/>
  <c r="X105" i="1"/>
  <c r="X240" i="1"/>
  <c r="X227" i="1"/>
  <c r="V170" i="1"/>
  <c r="W70" i="1"/>
  <c r="W240" i="1"/>
  <c r="W227" i="1"/>
  <c r="W245" i="1" s="1"/>
  <c r="T227" i="1"/>
  <c r="T240" i="1"/>
  <c r="T170" i="1"/>
  <c r="T171" i="1" s="1"/>
  <c r="U169" i="1" s="1"/>
  <c r="V105" i="1"/>
  <c r="V227" i="1"/>
  <c r="V240" i="1"/>
  <c r="U227" i="1"/>
  <c r="U240" i="1"/>
  <c r="Y240" i="1"/>
  <c r="Y227" i="1"/>
  <c r="AA240" i="1"/>
  <c r="AA227" i="1"/>
  <c r="U70" i="1"/>
  <c r="U229" i="1"/>
  <c r="Y105" i="1"/>
  <c r="T105" i="1"/>
  <c r="U105" i="1"/>
  <c r="U170" i="1"/>
  <c r="W105" i="1"/>
  <c r="U23" i="4" l="1"/>
  <c r="M81" i="1"/>
  <c r="M82" i="1" s="1"/>
  <c r="M85" i="1" s="1"/>
  <c r="M87" i="1" s="1"/>
  <c r="M89" i="1" s="1"/>
  <c r="M147" i="1" s="1"/>
  <c r="M120" i="1" s="1"/>
  <c r="M241" i="1"/>
  <c r="M89" i="2"/>
  <c r="I93" i="2"/>
  <c r="I92" i="2"/>
  <c r="I97" i="2"/>
  <c r="F93" i="2"/>
  <c r="F97" i="2"/>
  <c r="F92" i="2"/>
  <c r="J97" i="2"/>
  <c r="J92" i="2"/>
  <c r="J93" i="2"/>
  <c r="E92" i="2"/>
  <c r="E97" i="2"/>
  <c r="M55" i="2"/>
  <c r="M58" i="2"/>
  <c r="L97" i="2"/>
  <c r="L93" i="2"/>
  <c r="L92" i="2"/>
  <c r="I137" i="2"/>
  <c r="I136" i="2"/>
  <c r="N118" i="2"/>
  <c r="N88" i="2"/>
  <c r="N111" i="2" s="1"/>
  <c r="N87" i="2"/>
  <c r="N80" i="2"/>
  <c r="O45" i="2"/>
  <c r="O81" i="2" s="1"/>
  <c r="N53" i="2"/>
  <c r="N95" i="2"/>
  <c r="K92" i="2"/>
  <c r="K97" i="2"/>
  <c r="K93" i="2"/>
  <c r="K137" i="2"/>
  <c r="K136" i="2"/>
  <c r="J137" i="2"/>
  <c r="J136" i="2"/>
  <c r="H93" i="2"/>
  <c r="H92" i="2"/>
  <c r="H97" i="2"/>
  <c r="F137" i="2"/>
  <c r="F136" i="2"/>
  <c r="G97" i="2"/>
  <c r="G93" i="2"/>
  <c r="G92" i="2"/>
  <c r="L137" i="2"/>
  <c r="L136" i="2"/>
  <c r="H136" i="2"/>
  <c r="H137" i="2"/>
  <c r="G137" i="2"/>
  <c r="G136" i="2"/>
  <c r="U171" i="1"/>
  <c r="V169" i="1" s="1"/>
  <c r="V171" i="1" s="1"/>
  <c r="W169" i="1" s="1"/>
  <c r="W171" i="1" s="1"/>
  <c r="X169" i="1" s="1"/>
  <c r="W112" i="1"/>
  <c r="W114" i="1" s="1"/>
  <c r="W241" i="1" s="1"/>
  <c r="W239" i="1"/>
  <c r="U248" i="1"/>
  <c r="U247" i="1"/>
  <c r="U244" i="1"/>
  <c r="U245" i="1"/>
  <c r="X239" i="1"/>
  <c r="V112" i="1"/>
  <c r="V239" i="1"/>
  <c r="Y239" i="1"/>
  <c r="M143" i="1"/>
  <c r="M161" i="1" s="1"/>
  <c r="T112" i="1"/>
  <c r="T61" i="1" s="1"/>
  <c r="T239" i="1"/>
  <c r="T247" i="1"/>
  <c r="T248" i="1"/>
  <c r="T244" i="1"/>
  <c r="T245" i="1"/>
  <c r="Z239" i="1"/>
  <c r="W248" i="1"/>
  <c r="W247" i="1"/>
  <c r="W244" i="1"/>
  <c r="U112" i="1"/>
  <c r="U61" i="1" s="1"/>
  <c r="U239" i="1"/>
  <c r="V247" i="1"/>
  <c r="V248" i="1"/>
  <c r="V244" i="1"/>
  <c r="V245" i="1"/>
  <c r="M79" i="2" l="1"/>
  <c r="M84" i="2" s="1"/>
  <c r="F104" i="2"/>
  <c r="F106" i="2" s="1"/>
  <c r="F108" i="2" s="1"/>
  <c r="F122" i="2" s="1"/>
  <c r="G104" i="2"/>
  <c r="G106" i="2" s="1"/>
  <c r="G108" i="2" s="1"/>
  <c r="G122" i="2" s="1"/>
  <c r="E104" i="2"/>
  <c r="E106" i="2" s="1"/>
  <c r="E108" i="2" s="1"/>
  <c r="E122" i="2" s="1"/>
  <c r="L100" i="2"/>
  <c r="I100" i="2"/>
  <c r="K100" i="2"/>
  <c r="H100" i="2"/>
  <c r="J100" i="2"/>
  <c r="N89" i="2"/>
  <c r="AA23" i="4"/>
  <c r="S42" i="4"/>
  <c r="U235" i="1"/>
  <c r="U236" i="1" s="1"/>
  <c r="F74" i="2"/>
  <c r="N55" i="2"/>
  <c r="N58" i="2"/>
  <c r="T235" i="1"/>
  <c r="E74" i="2"/>
  <c r="R42" i="4"/>
  <c r="Z23" i="4"/>
  <c r="U42" i="4"/>
  <c r="O87" i="2"/>
  <c r="O88" i="2"/>
  <c r="O111" i="2" s="1"/>
  <c r="P45" i="2"/>
  <c r="P81" i="2" s="1"/>
  <c r="O80" i="2"/>
  <c r="O53" i="2"/>
  <c r="O95" i="2"/>
  <c r="O118" i="2"/>
  <c r="M83" i="1"/>
  <c r="N80" i="1" s="1"/>
  <c r="U114" i="1"/>
  <c r="U241" i="1" s="1"/>
  <c r="W61" i="1"/>
  <c r="T114" i="1"/>
  <c r="T241" i="1" s="1"/>
  <c r="M150" i="1"/>
  <c r="M206" i="1" s="1"/>
  <c r="M208" i="1" s="1"/>
  <c r="M210" i="1" s="1"/>
  <c r="V114" i="1"/>
  <c r="V241" i="1" s="1"/>
  <c r="V61" i="1"/>
  <c r="K11" i="2" l="1"/>
  <c r="Z33" i="8"/>
  <c r="M114" i="2"/>
  <c r="M119" i="2"/>
  <c r="M112" i="2"/>
  <c r="M82" i="2"/>
  <c r="M91" i="2" s="1"/>
  <c r="M120" i="2"/>
  <c r="H101" i="2"/>
  <c r="H104" i="2" s="1"/>
  <c r="H106" i="2" s="1"/>
  <c r="H108" i="2" s="1"/>
  <c r="H122" i="2" s="1"/>
  <c r="H125" i="2" s="1"/>
  <c r="H127" i="2" s="1"/>
  <c r="N79" i="2"/>
  <c r="N112" i="2" s="1"/>
  <c r="F123" i="2"/>
  <c r="O58" i="2"/>
  <c r="O55" i="2"/>
  <c r="V235" i="1"/>
  <c r="V236" i="1" s="1"/>
  <c r="G74" i="2"/>
  <c r="G123" i="2" s="1"/>
  <c r="O89" i="2"/>
  <c r="W235" i="1"/>
  <c r="W236" i="1" s="1"/>
  <c r="H74" i="2"/>
  <c r="P87" i="2"/>
  <c r="Q45" i="2"/>
  <c r="Q81" i="2" s="1"/>
  <c r="P53" i="2"/>
  <c r="P80" i="2"/>
  <c r="P95" i="2"/>
  <c r="P118" i="2"/>
  <c r="P88" i="2"/>
  <c r="P111" i="2" s="1"/>
  <c r="M213" i="1"/>
  <c r="M218" i="1" s="1"/>
  <c r="M212" i="1"/>
  <c r="M116" i="2" l="1"/>
  <c r="N114" i="2"/>
  <c r="N116" i="2" s="1"/>
  <c r="N120" i="2"/>
  <c r="N84" i="2"/>
  <c r="N119" i="2"/>
  <c r="M135" i="2"/>
  <c r="M136" i="2" s="1"/>
  <c r="O79" i="2"/>
  <c r="O120" i="2" s="1"/>
  <c r="N82" i="2"/>
  <c r="N135" i="2" s="1"/>
  <c r="H102" i="2"/>
  <c r="I99" i="2" s="1"/>
  <c r="M92" i="2"/>
  <c r="M93" i="2"/>
  <c r="M97" i="2"/>
  <c r="Q118" i="2"/>
  <c r="Q95" i="2"/>
  <c r="Q87" i="2"/>
  <c r="Q53" i="2"/>
  <c r="Q80" i="2"/>
  <c r="Q88" i="2"/>
  <c r="Q111" i="2" s="1"/>
  <c r="P89" i="2"/>
  <c r="H123" i="2"/>
  <c r="P55" i="2"/>
  <c r="P58" i="2"/>
  <c r="M215" i="1"/>
  <c r="M216" i="1" s="1"/>
  <c r="M177" i="1" s="1"/>
  <c r="M221" i="1"/>
  <c r="M160" i="1" s="1"/>
  <c r="M131" i="1" s="1"/>
  <c r="M231" i="1" s="1"/>
  <c r="M222" i="1"/>
  <c r="M159" i="1" s="1"/>
  <c r="M134" i="1" s="1"/>
  <c r="M137" i="2" l="1"/>
  <c r="O84" i="2"/>
  <c r="O82" i="2"/>
  <c r="O135" i="2" s="1"/>
  <c r="O114" i="2"/>
  <c r="O119" i="2"/>
  <c r="N91" i="2"/>
  <c r="N92" i="2" s="1"/>
  <c r="O112" i="2"/>
  <c r="M100" i="2"/>
  <c r="I101" i="2"/>
  <c r="I104" i="2" s="1"/>
  <c r="I106" i="2" s="1"/>
  <c r="I108" i="2" s="1"/>
  <c r="I122" i="2" s="1"/>
  <c r="I125" i="2" s="1"/>
  <c r="I127" i="2" s="1"/>
  <c r="P79" i="2"/>
  <c r="P112" i="2" s="1"/>
  <c r="Q89" i="2"/>
  <c r="Q58" i="2"/>
  <c r="Q55" i="2"/>
  <c r="N137" i="2"/>
  <c r="N136" i="2"/>
  <c r="N185" i="1"/>
  <c r="M176" i="1"/>
  <c r="M217" i="1"/>
  <c r="M178" i="1" s="1"/>
  <c r="M165" i="1"/>
  <c r="M170" i="1" s="1"/>
  <c r="M171" i="1" s="1"/>
  <c r="M119" i="1" s="1"/>
  <c r="N169" i="1" s="1"/>
  <c r="M132" i="1"/>
  <c r="M136" i="1" s="1"/>
  <c r="M251" i="1"/>
  <c r="M244" i="1"/>
  <c r="O116" i="2" l="1"/>
  <c r="N97" i="2"/>
  <c r="N100" i="2" s="1"/>
  <c r="O91" i="2"/>
  <c r="O97" i="2" s="1"/>
  <c r="P84" i="2"/>
  <c r="P82" i="2"/>
  <c r="P91" i="2" s="1"/>
  <c r="P119" i="2"/>
  <c r="P120" i="2"/>
  <c r="P114" i="2"/>
  <c r="N93" i="2"/>
  <c r="I102" i="2"/>
  <c r="J99" i="2" s="1"/>
  <c r="Q79" i="2"/>
  <c r="Q119" i="2" s="1"/>
  <c r="O136" i="2"/>
  <c r="O137" i="2"/>
  <c r="M219" i="1"/>
  <c r="N196" i="1"/>
  <c r="N109" i="1" s="1"/>
  <c r="M179" i="1"/>
  <c r="N200" i="1"/>
  <c r="N202" i="1" s="1"/>
  <c r="N195" i="1"/>
  <c r="N108" i="1" s="1"/>
  <c r="M232" i="1"/>
  <c r="M245" i="1" s="1"/>
  <c r="M233" i="1"/>
  <c r="M236" i="1" s="1"/>
  <c r="M124" i="1"/>
  <c r="M138" i="1" s="1"/>
  <c r="P116" i="2" l="1"/>
  <c r="O92" i="2"/>
  <c r="O93" i="2"/>
  <c r="P135" i="2"/>
  <c r="P136" i="2" s="1"/>
  <c r="Q120" i="2"/>
  <c r="O100" i="2"/>
  <c r="J101" i="2"/>
  <c r="J104" i="2" s="1"/>
  <c r="J106" i="2" s="1"/>
  <c r="J108" i="2" s="1"/>
  <c r="J122" i="2" s="1"/>
  <c r="J125" i="2" s="1"/>
  <c r="J127" i="2" s="1"/>
  <c r="Q84" i="2"/>
  <c r="Q112" i="2"/>
  <c r="Q82" i="2"/>
  <c r="Q91" i="2" s="1"/>
  <c r="Q114" i="2"/>
  <c r="P97" i="2"/>
  <c r="P92" i="2"/>
  <c r="P93" i="2"/>
  <c r="N228" i="1"/>
  <c r="N247" i="1" s="1"/>
  <c r="X109" i="1"/>
  <c r="X228" i="1" s="1"/>
  <c r="X247" i="1" s="1"/>
  <c r="M252" i="1"/>
  <c r="N197" i="1"/>
  <c r="N110" i="1"/>
  <c r="N112" i="1" s="1"/>
  <c r="X108" i="1"/>
  <c r="Q116" i="2" l="1"/>
  <c r="P137" i="2"/>
  <c r="J102" i="2"/>
  <c r="K99" i="2" s="1"/>
  <c r="K101" i="2" s="1"/>
  <c r="K104" i="2" s="1"/>
  <c r="K106" i="2" s="1"/>
  <c r="K108" i="2" s="1"/>
  <c r="K122" i="2" s="1"/>
  <c r="K125" i="2" s="1"/>
  <c r="K127" i="2" s="1"/>
  <c r="P100" i="2"/>
  <c r="Q135" i="2"/>
  <c r="Q97" i="2"/>
  <c r="Q93" i="2"/>
  <c r="Q92" i="2"/>
  <c r="X110" i="1"/>
  <c r="X112" i="1" s="1"/>
  <c r="N113" i="1"/>
  <c r="N114" i="1" s="1"/>
  <c r="N81" i="1"/>
  <c r="N82" i="1" s="1"/>
  <c r="N83" i="1" s="1"/>
  <c r="O80" i="1" s="1"/>
  <c r="N146" i="1"/>
  <c r="X146" i="1" s="1"/>
  <c r="N229" i="1"/>
  <c r="N248" i="1" s="1"/>
  <c r="Q136" i="2" l="1"/>
  <c r="K18" i="2"/>
  <c r="K21" i="2" s="1"/>
  <c r="N241" i="1"/>
  <c r="Q137" i="2"/>
  <c r="K102" i="2"/>
  <c r="L99" i="2" s="1"/>
  <c r="L101" i="2" s="1"/>
  <c r="L104" i="2" s="1"/>
  <c r="L106" i="2" s="1"/>
  <c r="L108" i="2" s="1"/>
  <c r="L122" i="2" s="1"/>
  <c r="L125" i="2" s="1"/>
  <c r="L127" i="2" s="1"/>
  <c r="Q100" i="2"/>
  <c r="X113" i="1"/>
  <c r="X61" i="1" s="1"/>
  <c r="X229" i="1"/>
  <c r="X248" i="1" s="1"/>
  <c r="X70" i="1"/>
  <c r="N85" i="1"/>
  <c r="N87" i="1" s="1"/>
  <c r="N89" i="1" s="1"/>
  <c r="N147" i="1" s="1"/>
  <c r="N143" i="1"/>
  <c r="X143" i="1" s="1"/>
  <c r="X114" i="1" l="1"/>
  <c r="X241" i="1" s="1"/>
  <c r="L102" i="2"/>
  <c r="M99" i="2" s="1"/>
  <c r="M101" i="2" s="1"/>
  <c r="M102" i="2" s="1"/>
  <c r="N99" i="2" s="1"/>
  <c r="N101" i="2" s="1"/>
  <c r="X235" i="1"/>
  <c r="I74" i="2"/>
  <c r="N120" i="1"/>
  <c r="X147" i="1"/>
  <c r="N161" i="1"/>
  <c r="X161" i="1" s="1"/>
  <c r="X75" i="1" s="1"/>
  <c r="N150" i="1"/>
  <c r="M104" i="2" l="1"/>
  <c r="M106" i="2" s="1"/>
  <c r="M108" i="2" s="1"/>
  <c r="M122" i="2" s="1"/>
  <c r="M125" i="2" s="1"/>
  <c r="M127" i="2" s="1"/>
  <c r="N102" i="2"/>
  <c r="O99" i="2" s="1"/>
  <c r="O101" i="2" s="1"/>
  <c r="N104" i="2"/>
  <c r="N106" i="2" s="1"/>
  <c r="N108" i="2" s="1"/>
  <c r="N122" i="2" s="1"/>
  <c r="N125" i="2" s="1"/>
  <c r="N127" i="2" s="1"/>
  <c r="X150" i="1"/>
  <c r="X120" i="1"/>
  <c r="N206" i="1"/>
  <c r="N208" i="1" s="1"/>
  <c r="N213" i="1" s="1"/>
  <c r="N222" i="1" s="1"/>
  <c r="N159" i="1" s="1"/>
  <c r="X159" i="1" s="1"/>
  <c r="O102" i="2" l="1"/>
  <c r="P99" i="2" s="1"/>
  <c r="P101" i="2" s="1"/>
  <c r="O104" i="2"/>
  <c r="O106" i="2" s="1"/>
  <c r="O108" i="2" s="1"/>
  <c r="O122" i="2" s="1"/>
  <c r="O125" i="2" s="1"/>
  <c r="O127" i="2" s="1"/>
  <c r="I123" i="2"/>
  <c r="N210" i="1"/>
  <c r="N218" i="1"/>
  <c r="N212" i="1"/>
  <c r="N134" i="1"/>
  <c r="X134" i="1" s="1"/>
  <c r="P102" i="2" l="1"/>
  <c r="Q99" i="2" s="1"/>
  <c r="Q101" i="2" s="1"/>
  <c r="P104" i="2"/>
  <c r="P106" i="2" s="1"/>
  <c r="P108" i="2" s="1"/>
  <c r="P122" i="2" s="1"/>
  <c r="P125" i="2" s="1"/>
  <c r="P127" i="2" s="1"/>
  <c r="N215" i="1"/>
  <c r="N216" i="1" s="1"/>
  <c r="N177" i="1" s="1"/>
  <c r="N221" i="1"/>
  <c r="N160" i="1" s="1"/>
  <c r="N165" i="1" s="1"/>
  <c r="N170" i="1" s="1"/>
  <c r="N171" i="1" s="1"/>
  <c r="N119" i="1" s="1"/>
  <c r="X119" i="1" s="1"/>
  <c r="X124" i="1" s="1"/>
  <c r="Q102" i="2" l="1"/>
  <c r="Q104" i="2"/>
  <c r="Q106" i="2" s="1"/>
  <c r="Q108" i="2" s="1"/>
  <c r="Q122" i="2" s="1"/>
  <c r="O185" i="1"/>
  <c r="N176" i="1"/>
  <c r="O200" i="1" s="1"/>
  <c r="O202" i="1" s="1"/>
  <c r="N217" i="1"/>
  <c r="N178" i="1" s="1"/>
  <c r="O195" i="1"/>
  <c r="O108" i="1" s="1"/>
  <c r="N124" i="1"/>
  <c r="O169" i="1"/>
  <c r="X160" i="1"/>
  <c r="X165" i="1" s="1"/>
  <c r="X170" i="1" s="1"/>
  <c r="X171" i="1" s="1"/>
  <c r="Y169" i="1" s="1"/>
  <c r="N131" i="1"/>
  <c r="N231" i="1" s="1"/>
  <c r="X131" i="1" l="1"/>
  <c r="X231" i="1" s="1"/>
  <c r="K22" i="2"/>
  <c r="P22" i="2"/>
  <c r="P18" i="2"/>
  <c r="P21" i="2" s="1"/>
  <c r="Q125" i="2"/>
  <c r="Q127" i="2" s="1"/>
  <c r="N219" i="1"/>
  <c r="N132" i="1"/>
  <c r="N136" i="1" s="1"/>
  <c r="N138" i="1" s="1"/>
  <c r="O196" i="1"/>
  <c r="O109" i="1" s="1"/>
  <c r="N179" i="1"/>
  <c r="N233" i="1"/>
  <c r="N236" i="1" s="1"/>
  <c r="N244" i="1"/>
  <c r="N251" i="1"/>
  <c r="N232" i="1"/>
  <c r="X132" i="1" l="1"/>
  <c r="X136" i="1" s="1"/>
  <c r="X138" i="1" s="1"/>
  <c r="X233" i="1"/>
  <c r="X236" i="1" s="1"/>
  <c r="K23" i="2"/>
  <c r="P23" i="2"/>
  <c r="O228" i="1"/>
  <c r="O247" i="1" s="1"/>
  <c r="O110" i="1"/>
  <c r="O112" i="1" s="1"/>
  <c r="O113" i="1" s="1"/>
  <c r="O114" i="1" s="1"/>
  <c r="O197" i="1"/>
  <c r="X244" i="1"/>
  <c r="X232" i="1"/>
  <c r="X251" i="1"/>
  <c r="N245" i="1"/>
  <c r="N252" i="1"/>
  <c r="V23" i="4" l="1"/>
  <c r="O241" i="1"/>
  <c r="O81" i="1"/>
  <c r="O82" i="1" s="1"/>
  <c r="O83" i="1" s="1"/>
  <c r="P80" i="1" s="1"/>
  <c r="O146" i="1"/>
  <c r="O229" i="1"/>
  <c r="O248" i="1" s="1"/>
  <c r="X252" i="1"/>
  <c r="X245" i="1"/>
  <c r="O143" i="1"/>
  <c r="O85" i="1" l="1"/>
  <c r="O87" i="1" s="1"/>
  <c r="O89" i="1" s="1"/>
  <c r="O147" i="1" s="1"/>
  <c r="O150" i="1" s="1"/>
  <c r="V42" i="4"/>
  <c r="O161" i="1"/>
  <c r="O120" i="1" l="1"/>
  <c r="O206" i="1"/>
  <c r="O208" i="1" s="1"/>
  <c r="O213" i="1" s="1"/>
  <c r="O212" i="1" l="1"/>
  <c r="O215" i="1" s="1"/>
  <c r="O216" i="1" s="1"/>
  <c r="O210" i="1"/>
  <c r="O218" i="1"/>
  <c r="O222" i="1"/>
  <c r="O159" i="1" s="1"/>
  <c r="O176" i="1" l="1"/>
  <c r="P200" i="1" s="1"/>
  <c r="P202" i="1" s="1"/>
  <c r="O217" i="1"/>
  <c r="O178" i="1" s="1"/>
  <c r="O221" i="1"/>
  <c r="O160" i="1" s="1"/>
  <c r="O131" i="1" s="1"/>
  <c r="O231" i="1" s="1"/>
  <c r="O134" i="1"/>
  <c r="O177" i="1"/>
  <c r="O165" i="1" l="1"/>
  <c r="O170" i="1" s="1"/>
  <c r="O171" i="1" s="1"/>
  <c r="O119" i="1" s="1"/>
  <c r="P195" i="1" s="1"/>
  <c r="P185" i="1"/>
  <c r="P196" i="1" s="1"/>
  <c r="P109" i="1" s="1"/>
  <c r="O132" i="1"/>
  <c r="O136" i="1" s="1"/>
  <c r="O219" i="1"/>
  <c r="O179" i="1"/>
  <c r="O251" i="1"/>
  <c r="O244" i="1"/>
  <c r="O232" i="1" l="1"/>
  <c r="O252" i="1" s="1"/>
  <c r="O124" i="1"/>
  <c r="P169" i="1"/>
  <c r="O233" i="1"/>
  <c r="O236" i="1" s="1"/>
  <c r="P228" i="1"/>
  <c r="P247" i="1" s="1"/>
  <c r="Y109" i="1"/>
  <c r="Y228" i="1" s="1"/>
  <c r="Y247" i="1" s="1"/>
  <c r="P108" i="1"/>
  <c r="P197" i="1"/>
  <c r="O138" i="1" l="1"/>
  <c r="O245" i="1"/>
  <c r="P110" i="1"/>
  <c r="P229" i="1" s="1"/>
  <c r="P248" i="1" s="1"/>
  <c r="Y108" i="1"/>
  <c r="Y110" i="1" s="1"/>
  <c r="P112" i="1" l="1"/>
  <c r="P146" i="1"/>
  <c r="Y146" i="1" s="1"/>
  <c r="Y70" i="1" s="1"/>
  <c r="Y112" i="1"/>
  <c r="Y229" i="1"/>
  <c r="Y248" i="1" s="1"/>
  <c r="P113" i="1" l="1"/>
  <c r="Y113" i="1" s="1"/>
  <c r="Y61" i="1" s="1"/>
  <c r="P81" i="1"/>
  <c r="P82" i="1" s="1"/>
  <c r="P83" i="1" s="1"/>
  <c r="Q80" i="1" s="1"/>
  <c r="Y235" i="1" l="1"/>
  <c r="J74" i="2"/>
  <c r="P114" i="1"/>
  <c r="F31" i="2" s="1"/>
  <c r="Y114" i="1"/>
  <c r="Y241" i="1" s="1"/>
  <c r="P85" i="1"/>
  <c r="P87" i="1" s="1"/>
  <c r="P89" i="1" s="1"/>
  <c r="P147" i="1" s="1"/>
  <c r="F32" i="2" l="1"/>
  <c r="P241" i="1"/>
  <c r="W23" i="4"/>
  <c r="P143" i="1"/>
  <c r="P161" i="1" s="1"/>
  <c r="Y161" i="1" s="1"/>
  <c r="Y147" i="1"/>
  <c r="P120" i="1"/>
  <c r="Y143" i="1" l="1"/>
  <c r="Y75" i="1" s="1"/>
  <c r="W42" i="4"/>
  <c r="H12" i="6" a="1"/>
  <c r="J123" i="2"/>
  <c r="P150" i="1"/>
  <c r="P206" i="1" s="1"/>
  <c r="P208" i="1" s="1"/>
  <c r="Y120" i="1"/>
  <c r="Y150" i="1" l="1"/>
  <c r="H18" i="6"/>
  <c r="H16" i="6"/>
  <c r="H17" i="6"/>
  <c r="H14" i="6"/>
  <c r="H15" i="6"/>
  <c r="H19" i="6"/>
  <c r="H20" i="6"/>
  <c r="H12" i="6"/>
  <c r="H13" i="6"/>
  <c r="P213" i="1"/>
  <c r="P210" i="1"/>
  <c r="P212" i="1"/>
  <c r="M31" i="6" l="1"/>
  <c r="M12" i="6" s="1"/>
  <c r="M45" i="7" s="1"/>
  <c r="I31" i="6"/>
  <c r="J31" i="6"/>
  <c r="J12" i="6" s="1"/>
  <c r="J45" i="7" s="1"/>
  <c r="L31" i="6"/>
  <c r="L12" i="6" s="1"/>
  <c r="L45" i="7" s="1"/>
  <c r="K31" i="6"/>
  <c r="K12" i="6" s="1"/>
  <c r="K45" i="7" s="1"/>
  <c r="I32" i="6"/>
  <c r="I13" i="6" s="1"/>
  <c r="I44" i="7" s="1"/>
  <c r="N44" i="7" s="1"/>
  <c r="K32" i="6"/>
  <c r="K13" i="6" s="1"/>
  <c r="K44" i="7" s="1"/>
  <c r="M32" i="6"/>
  <c r="M13" i="6" s="1"/>
  <c r="M44" i="7" s="1"/>
  <c r="J32" i="6"/>
  <c r="J13" i="6" s="1"/>
  <c r="J44" i="7" s="1"/>
  <c r="L32" i="6"/>
  <c r="L13" i="6" s="1"/>
  <c r="L44" i="7" s="1"/>
  <c r="I39" i="6"/>
  <c r="I20" i="6" s="1"/>
  <c r="I37" i="7" s="1"/>
  <c r="N37" i="7" s="1"/>
  <c r="M39" i="6"/>
  <c r="M20" i="6" s="1"/>
  <c r="M37" i="7" s="1"/>
  <c r="L39" i="6"/>
  <c r="L20" i="6" s="1"/>
  <c r="L37" i="7" s="1"/>
  <c r="K39" i="6"/>
  <c r="K20" i="6" s="1"/>
  <c r="K37" i="7" s="1"/>
  <c r="J39" i="6"/>
  <c r="J20" i="6" s="1"/>
  <c r="J37" i="7" s="1"/>
  <c r="K38" i="6"/>
  <c r="K19" i="6" s="1"/>
  <c r="K38" i="7" s="1"/>
  <c r="I38" i="6"/>
  <c r="I19" i="6" s="1"/>
  <c r="I38" i="7" s="1"/>
  <c r="N38" i="7" s="1"/>
  <c r="J38" i="6"/>
  <c r="J19" i="6" s="1"/>
  <c r="J38" i="7" s="1"/>
  <c r="L38" i="6"/>
  <c r="L19" i="6" s="1"/>
  <c r="L38" i="7" s="1"/>
  <c r="M38" i="6"/>
  <c r="M19" i="6" s="1"/>
  <c r="M38" i="7" s="1"/>
  <c r="I34" i="6"/>
  <c r="I15" i="6" s="1"/>
  <c r="I42" i="7" s="1"/>
  <c r="N42" i="7" s="1"/>
  <c r="K34" i="6"/>
  <c r="K15" i="6" s="1"/>
  <c r="K42" i="7" s="1"/>
  <c r="M34" i="6"/>
  <c r="M15" i="6" s="1"/>
  <c r="M42" i="7" s="1"/>
  <c r="J34" i="6"/>
  <c r="J15" i="6" s="1"/>
  <c r="J42" i="7" s="1"/>
  <c r="L34" i="6"/>
  <c r="L15" i="6" s="1"/>
  <c r="L42" i="7" s="1"/>
  <c r="L33" i="6"/>
  <c r="L14" i="6" s="1"/>
  <c r="L43" i="7" s="1"/>
  <c r="M33" i="6"/>
  <c r="M14" i="6" s="1"/>
  <c r="M43" i="7" s="1"/>
  <c r="K33" i="6"/>
  <c r="K14" i="6" s="1"/>
  <c r="K43" i="7" s="1"/>
  <c r="J33" i="6"/>
  <c r="J14" i="6" s="1"/>
  <c r="J43" i="7" s="1"/>
  <c r="I33" i="6"/>
  <c r="I14" i="6" s="1"/>
  <c r="I43" i="7" s="1"/>
  <c r="N43" i="7" s="1"/>
  <c r="I36" i="6"/>
  <c r="I17" i="6" s="1"/>
  <c r="I40" i="7" s="1"/>
  <c r="N40" i="7" s="1"/>
  <c r="M36" i="6"/>
  <c r="M17" i="6" s="1"/>
  <c r="M40" i="7" s="1"/>
  <c r="J36" i="6"/>
  <c r="J17" i="6" s="1"/>
  <c r="J40" i="7" s="1"/>
  <c r="K36" i="6"/>
  <c r="K17" i="6" s="1"/>
  <c r="K40" i="7" s="1"/>
  <c r="L36" i="6"/>
  <c r="L17" i="6" s="1"/>
  <c r="L40" i="7" s="1"/>
  <c r="K35" i="6"/>
  <c r="K16" i="6" s="1"/>
  <c r="K41" i="7" s="1"/>
  <c r="M35" i="6"/>
  <c r="M16" i="6" s="1"/>
  <c r="M41" i="7" s="1"/>
  <c r="J35" i="6"/>
  <c r="J16" i="6" s="1"/>
  <c r="J41" i="7" s="1"/>
  <c r="I35" i="6"/>
  <c r="I16" i="6" s="1"/>
  <c r="I41" i="7" s="1"/>
  <c r="N41" i="7" s="1"/>
  <c r="L35" i="6"/>
  <c r="L16" i="6" s="1"/>
  <c r="L41" i="7" s="1"/>
  <c r="K37" i="6"/>
  <c r="K18" i="6" s="1"/>
  <c r="K39" i="7" s="1"/>
  <c r="L37" i="6"/>
  <c r="L18" i="6" s="1"/>
  <c r="L39" i="7" s="1"/>
  <c r="I37" i="6"/>
  <c r="I18" i="6" s="1"/>
  <c r="I39" i="7" s="1"/>
  <c r="N39" i="7" s="1"/>
  <c r="M37" i="6"/>
  <c r="M18" i="6" s="1"/>
  <c r="M39" i="7" s="1"/>
  <c r="J37" i="6"/>
  <c r="J18" i="6" s="1"/>
  <c r="J39" i="7" s="1"/>
  <c r="P215" i="1"/>
  <c r="P176" i="1" s="1"/>
  <c r="P221" i="1"/>
  <c r="P160" i="1" s="1"/>
  <c r="P222" i="1"/>
  <c r="P159" i="1" s="1"/>
  <c r="P218" i="1"/>
  <c r="Q38" i="7" l="1"/>
  <c r="Q44" i="7"/>
  <c r="O39" i="7"/>
  <c r="P41" i="7"/>
  <c r="O40" i="7"/>
  <c r="P45" i="7"/>
  <c r="P40" i="7"/>
  <c r="O44" i="7"/>
  <c r="O42" i="7"/>
  <c r="Q40" i="7"/>
  <c r="R39" i="7"/>
  <c r="O38" i="7"/>
  <c r="Q39" i="7"/>
  <c r="R43" i="7"/>
  <c r="R38" i="7"/>
  <c r="Q37" i="7"/>
  <c r="R41" i="7"/>
  <c r="P43" i="7"/>
  <c r="Q45" i="7"/>
  <c r="Q42" i="7"/>
  <c r="R45" i="7"/>
  <c r="R37" i="7"/>
  <c r="R42" i="7"/>
  <c r="R44" i="7"/>
  <c r="P42" i="7"/>
  <c r="O43" i="7"/>
  <c r="P38" i="7"/>
  <c r="R40" i="7"/>
  <c r="P39" i="7"/>
  <c r="P44" i="7"/>
  <c r="Q41" i="7"/>
  <c r="O37" i="7"/>
  <c r="O41" i="7"/>
  <c r="Q43" i="7"/>
  <c r="P37" i="7"/>
  <c r="I12" i="6"/>
  <c r="I45" i="7" s="1"/>
  <c r="N45" i="7" s="1"/>
  <c r="E29" i="6"/>
  <c r="P216" i="1"/>
  <c r="P177" i="1" s="1"/>
  <c r="Q200" i="1"/>
  <c r="Q202" i="1" s="1"/>
  <c r="P131" i="1"/>
  <c r="Y160" i="1"/>
  <c r="Y159" i="1"/>
  <c r="P134" i="1"/>
  <c r="P165" i="1"/>
  <c r="P170" i="1" s="1"/>
  <c r="P171" i="1" s="1"/>
  <c r="P119" i="1" s="1"/>
  <c r="O45" i="7" l="1"/>
  <c r="E37" i="6"/>
  <c r="E41" i="6" s="1"/>
  <c r="E42" i="6" s="1"/>
  <c r="Q185" i="1"/>
  <c r="P217" i="1"/>
  <c r="P178" i="1" s="1"/>
  <c r="Y165" i="1"/>
  <c r="Y170" i="1" s="1"/>
  <c r="Y171" i="1" s="1"/>
  <c r="Z169" i="1" s="1"/>
  <c r="Y131" i="1"/>
  <c r="P132" i="1"/>
  <c r="P136" i="1" s="1"/>
  <c r="P231" i="1"/>
  <c r="P232" i="1" s="1"/>
  <c r="P252" i="1" s="1"/>
  <c r="Y119" i="1"/>
  <c r="P124" i="1"/>
  <c r="Q169" i="1"/>
  <c r="Q195" i="1"/>
  <c r="Y134" i="1"/>
  <c r="P233" i="1"/>
  <c r="P236" i="1" s="1"/>
  <c r="F36" i="2" l="1"/>
  <c r="F35" i="2" s="1"/>
  <c r="F30" i="2" s="1"/>
  <c r="Q196" i="1"/>
  <c r="Q109" i="1" s="1"/>
  <c r="P219" i="1"/>
  <c r="P179" i="1"/>
  <c r="P245" i="1"/>
  <c r="P244" i="1"/>
  <c r="P251" i="1"/>
  <c r="P138" i="1"/>
  <c r="Y231" i="1"/>
  <c r="Y244" i="1" s="1"/>
  <c r="Y132" i="1"/>
  <c r="Y136" i="1" s="1"/>
  <c r="Q108" i="1"/>
  <c r="Y233" i="1"/>
  <c r="Y236" i="1" s="1"/>
  <c r="Y124" i="1"/>
  <c r="Q228" i="1" l="1"/>
  <c r="Q247" i="1" s="1"/>
  <c r="Z109" i="1"/>
  <c r="Z228" i="1" s="1"/>
  <c r="Z247" i="1" s="1"/>
  <c r="Q197" i="1"/>
  <c r="Y251" i="1"/>
  <c r="Y232" i="1"/>
  <c r="Y252" i="1" s="1"/>
  <c r="Y138" i="1"/>
  <c r="Q110" i="1"/>
  <c r="Z108" i="1"/>
  <c r="Z110" i="1" l="1"/>
  <c r="Z112" i="1" s="1"/>
  <c r="Y245" i="1"/>
  <c r="Q112" i="1"/>
  <c r="Q229" i="1"/>
  <c r="Q248" i="1" s="1"/>
  <c r="Q146" i="1"/>
  <c r="Z146" i="1" s="1"/>
  <c r="Z229" i="1" l="1"/>
  <c r="Z248" i="1" s="1"/>
  <c r="Z70" i="1"/>
  <c r="Q81" i="1"/>
  <c r="Q82" i="1" s="1"/>
  <c r="Q83" i="1" s="1"/>
  <c r="R80" i="1" s="1"/>
  <c r="Q113" i="1"/>
  <c r="Z113" i="1" s="1"/>
  <c r="Z61" i="1" s="1"/>
  <c r="Z235" i="1" l="1"/>
  <c r="K74" i="2"/>
  <c r="Q85" i="1"/>
  <c r="Q87" i="1" s="1"/>
  <c r="Q89" i="1" s="1"/>
  <c r="Q147" i="1" s="1"/>
  <c r="Q114" i="1"/>
  <c r="F33" i="2" s="1"/>
  <c r="Z114" i="1"/>
  <c r="Z241" i="1" s="1"/>
  <c r="F29" i="2" l="1"/>
  <c r="Q143" i="1"/>
  <c r="Q150" i="1" s="1"/>
  <c r="Z147" i="1"/>
  <c r="Q120" i="1"/>
  <c r="Q241" i="1"/>
  <c r="Q161" i="1" l="1"/>
  <c r="Z161" i="1" s="1"/>
  <c r="Z143" i="1"/>
  <c r="K123" i="2"/>
  <c r="Z120" i="1"/>
  <c r="Q206" i="1" l="1"/>
  <c r="Q208" i="1" s="1"/>
  <c r="Q210" i="1" s="1"/>
  <c r="Z75" i="1"/>
  <c r="Z150" i="1"/>
  <c r="Q213" i="1" l="1"/>
  <c r="Q218" i="1" s="1"/>
  <c r="Q212" i="1"/>
  <c r="Q221" i="1" s="1"/>
  <c r="Q160" i="1" s="1"/>
  <c r="Q131" i="1" s="1"/>
  <c r="Q222" i="1" l="1"/>
  <c r="Q159" i="1" s="1"/>
  <c r="Z159" i="1" s="1"/>
  <c r="Q215" i="1"/>
  <c r="Q216" i="1" s="1"/>
  <c r="Q177" i="1" s="1"/>
  <c r="Z160" i="1"/>
  <c r="Z131" i="1"/>
  <c r="Q231" i="1"/>
  <c r="Q132" i="1"/>
  <c r="Q134" i="1" l="1"/>
  <c r="Z134" i="1" s="1"/>
  <c r="Q165" i="1"/>
  <c r="Q170" i="1" s="1"/>
  <c r="Q171" i="1" s="1"/>
  <c r="Q119" i="1" s="1"/>
  <c r="R169" i="1" s="1"/>
  <c r="Z165" i="1"/>
  <c r="Z170" i="1" s="1"/>
  <c r="Z171" i="1" s="1"/>
  <c r="AA169" i="1" s="1"/>
  <c r="Q176" i="1"/>
  <c r="R200" i="1" s="1"/>
  <c r="R201" i="1" s="1"/>
  <c r="R202" i="1" s="1"/>
  <c r="Q217" i="1"/>
  <c r="Q178" i="1" s="1"/>
  <c r="Q136" i="1"/>
  <c r="Z132" i="1"/>
  <c r="Z231" i="1"/>
  <c r="Q244" i="1"/>
  <c r="Q251" i="1"/>
  <c r="Z136" i="1" l="1"/>
  <c r="Z119" i="1"/>
  <c r="Z124" i="1" s="1"/>
  <c r="Z138" i="1" s="1"/>
  <c r="Q233" i="1"/>
  <c r="Q236" i="1" s="1"/>
  <c r="Q124" i="1"/>
  <c r="Q138" i="1" s="1"/>
  <c r="Q232" i="1"/>
  <c r="Q245" i="1" s="1"/>
  <c r="R195" i="1"/>
  <c r="R108" i="1" s="1"/>
  <c r="AA108" i="1" s="1"/>
  <c r="Q219" i="1"/>
  <c r="Q179" i="1"/>
  <c r="R196" i="1"/>
  <c r="R109" i="1" s="1"/>
  <c r="Z233" i="1"/>
  <c r="Z236" i="1" s="1"/>
  <c r="Z244" i="1"/>
  <c r="Z232" i="1"/>
  <c r="Z251" i="1"/>
  <c r="Q252" i="1" l="1"/>
  <c r="R110" i="1"/>
  <c r="R146" i="1" s="1"/>
  <c r="AA146" i="1" s="1"/>
  <c r="R197" i="1"/>
  <c r="R228" i="1"/>
  <c r="R247" i="1" s="1"/>
  <c r="AA109" i="1"/>
  <c r="AA228" i="1" s="1"/>
  <c r="AA247" i="1" s="1"/>
  <c r="Z245" i="1"/>
  <c r="Z252" i="1"/>
  <c r="R229" i="1" l="1"/>
  <c r="R248" i="1" s="1"/>
  <c r="R112" i="1"/>
  <c r="R113" i="1" s="1"/>
  <c r="AA113" i="1" s="1"/>
  <c r="AA110" i="1"/>
  <c r="AA70" i="1" s="1"/>
  <c r="R81" i="1"/>
  <c r="R82" i="1" s="1"/>
  <c r="R83" i="1" s="1"/>
  <c r="AA112" i="1" l="1"/>
  <c r="AA229" i="1"/>
  <c r="AA248" i="1" s="1"/>
  <c r="R114" i="1"/>
  <c r="F34" i="2" s="1"/>
  <c r="AA114" i="1"/>
  <c r="AA241" i="1" s="1"/>
  <c r="R85" i="1"/>
  <c r="R87" i="1" s="1"/>
  <c r="R89" i="1" s="1"/>
  <c r="R147" i="1" s="1"/>
  <c r="AA61" i="1"/>
  <c r="R143" i="1" l="1"/>
  <c r="R161" i="1" s="1"/>
  <c r="AA161" i="1" s="1"/>
  <c r="AA235" i="1"/>
  <c r="L74" i="2"/>
  <c r="R241" i="1"/>
  <c r="AA147" i="1"/>
  <c r="R120" i="1"/>
  <c r="AA120" i="1" s="1"/>
  <c r="R150" i="1" l="1"/>
  <c r="R206" i="1" s="1"/>
  <c r="R208" i="1" s="1"/>
  <c r="R212" i="1" s="1"/>
  <c r="R216" i="1" s="1"/>
  <c r="R217" i="1" s="1"/>
  <c r="AA143" i="1"/>
  <c r="AA75" i="1" s="1"/>
  <c r="M74" i="2"/>
  <c r="R213" i="1" l="1"/>
  <c r="R222" i="1" s="1"/>
  <c r="R159" i="1" s="1"/>
  <c r="R134" i="1" s="1"/>
  <c r="AA134" i="1" s="1"/>
  <c r="R210" i="1"/>
  <c r="R221" i="1" s="1"/>
  <c r="R160" i="1" s="1"/>
  <c r="R131" i="1" s="1"/>
  <c r="AA150" i="1"/>
  <c r="L123" i="2"/>
  <c r="N74" i="2"/>
  <c r="M123" i="2"/>
  <c r="R177" i="1"/>
  <c r="R178" i="1"/>
  <c r="AA159" i="1" l="1"/>
  <c r="R218" i="1"/>
  <c r="R219" i="1" s="1"/>
  <c r="R176" i="1"/>
  <c r="R179" i="1" s="1"/>
  <c r="AA160" i="1"/>
  <c r="R165" i="1"/>
  <c r="R170" i="1" s="1"/>
  <c r="R171" i="1" s="1"/>
  <c r="R119" i="1" s="1"/>
  <c r="R233" i="1" s="1"/>
  <c r="R236" i="1" s="1"/>
  <c r="O74" i="2"/>
  <c r="N123" i="2"/>
  <c r="AA131" i="1"/>
  <c r="R132" i="1"/>
  <c r="R136" i="1" s="1"/>
  <c r="R231" i="1"/>
  <c r="AA165" i="1" l="1"/>
  <c r="AA170" i="1" s="1"/>
  <c r="AA171" i="1" s="1"/>
  <c r="AA119" i="1"/>
  <c r="AA124" i="1" s="1"/>
  <c r="R124" i="1"/>
  <c r="R138" i="1" s="1"/>
  <c r="P74" i="2"/>
  <c r="O123" i="2"/>
  <c r="AA132" i="1"/>
  <c r="AA136" i="1" s="1"/>
  <c r="AA231" i="1"/>
  <c r="R244" i="1"/>
  <c r="R251" i="1"/>
  <c r="R232" i="1"/>
  <c r="AA138" i="1" l="1"/>
  <c r="AA233" i="1"/>
  <c r="AA236" i="1" s="1"/>
  <c r="Q74" i="2"/>
  <c r="P123" i="2"/>
  <c r="AA251" i="1"/>
  <c r="AA232" i="1"/>
  <c r="AA244" i="1"/>
  <c r="R245" i="1"/>
  <c r="R252" i="1"/>
  <c r="Q123" i="2" l="1"/>
  <c r="K19" i="2"/>
  <c r="K24" i="2"/>
  <c r="AA245" i="1"/>
  <c r="AA252" i="1"/>
  <c r="K35" i="2" l="1"/>
  <c r="L39" i="2" s="1"/>
  <c r="K26" i="2"/>
  <c r="P19" i="2"/>
  <c r="K39" i="2" l="1"/>
  <c r="D148" i="2" s="1"/>
  <c r="P24" i="2"/>
  <c r="P35" i="2" s="1"/>
  <c r="P39" i="2" s="1"/>
  <c r="K40" i="2" l="1"/>
  <c r="D142" i="2"/>
  <c r="D162" i="2"/>
  <c r="P40" i="2"/>
  <c r="P26" i="2"/>
  <c r="E25" i="1"/>
  <c r="E91" i="1"/>
  <c r="E116" i="1"/>
  <c r="E140" i="1"/>
  <c r="E173" i="1"/>
  <c r="E2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L61" authorId="0" shapeId="0" xr:uid="{21105CC2-464F-4CB3-BFE2-29D45A885A9B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https://www.moore.co.uk/news-views/march-2022/what-is-the-corporation-tax-increase-from-apri-(1)</t>
        </r>
      </text>
    </comment>
    <comment ref="M61" authorId="0" shapeId="0" xr:uid="{684A867E-11D7-4949-B4F9-9E339E6A5EB1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https://www.moore.co.uk/news-views/march-2022/what-is-the-corporation-tax-increase-from-apri-(1)</t>
        </r>
      </text>
    </comment>
    <comment ref="N61" authorId="0" shapeId="0" xr:uid="{1DBFBCD3-FC50-4D60-AD16-D5E579F2F8DF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https://www.moore.co.uk/news-views/march-2022/what-is-the-corporation-tax-increase-from-apri-(1)</t>
        </r>
      </text>
    </comment>
    <comment ref="K80" authorId="0" shapeId="0" xr:uid="{FF10FAB5-0AFD-4867-9D1C-3B7B4FDBA003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Based on estimate of 425M GBP in statutory losses within DTA on pg. 189 of annual report.</t>
        </r>
      </text>
    </comment>
    <comment ref="K181" authorId="0" shapeId="0" xr:uid="{B020C02B-F748-4969-AB93-6F423A684575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Per pg. 37 of half-year report.</t>
        </r>
      </text>
    </comment>
    <comment ref="K182" authorId="0" shapeId="0" xr:uid="{0200972A-BD7C-4497-B819-70E5F673162B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Per pg. 37 of half-year report.</t>
        </r>
      </text>
    </comment>
    <comment ref="R185" authorId="0" shapeId="0" xr:uid="{2BE19D28-C711-408F-9ECD-640FA793E185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Substantial increase here because of the 440M maturity the year before and large draw in the previous year, presumably at a much higher rate.</t>
        </r>
      </text>
    </comment>
    <comment ref="K192" authorId="0" shapeId="0" xr:uid="{3B9C90C3-1690-49F9-96C8-563354F576F8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Based on average of FY 20 and FY 21 numbers.</t>
        </r>
      </text>
    </comment>
    <comment ref="R215" authorId="0" shapeId="0" xr:uid="{9A0342FE-44A1-4F7C-A23E-7BA81EFFE173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additional draws allowed due to maturity in Jan 2026.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Tomasz Osuchowski</author>
    <author>BIWS</author>
  </authors>
  <commentList>
    <comment ref="E15" authorId="0" shapeId="0" xr:uid="{57E7104B-AB55-1E4C-B985-84E9BD1BDEBB}">
      <text>
        <r>
          <rPr>
            <b/>
            <sz val="10"/>
            <color rgb="FF000000"/>
            <rFont val="Tahoma"/>
            <family val="2"/>
          </rPr>
          <t>Tomasz Osuchowski: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 Per 04/15/2025	</t>
        </r>
      </text>
    </comment>
    <comment ref="K29" authorId="1" shapeId="0" xr:uid="{095CFE36-A551-42B0-9DF4-0BC4A06A074E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Set to 0 since we are counting these in the UFCF projections instead.</t>
        </r>
      </text>
    </comment>
    <comment ref="P29" authorId="1" shapeId="0" xr:uid="{8B308387-1D02-4C65-AF46-2F787369D957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Set to 0 since we are counting these in the UFCF projections instead.</t>
        </r>
      </text>
    </comment>
    <comment ref="K32" authorId="1" shapeId="0" xr:uid="{0637C403-B1B0-480C-A2C6-D3FE522CD8A2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Set to 0 since we are counting these in the UFCF projections instead.</t>
        </r>
      </text>
    </comment>
    <comment ref="P32" authorId="1" shapeId="0" xr:uid="{C5E54161-BA78-4FFD-9068-DEA15C8F9985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Set to 0 since we are counting these in the UFCF projections instead.</t>
        </r>
      </text>
    </comment>
    <comment ref="H125" authorId="1" shapeId="0" xr:uid="{095FA688-D12F-4D37-ADF4-9F9D971483FC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Subtracting approximate UFCF from 1H 22 - not adjusting for taxes since Cash Taxes are almost 0 anyway.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P243" authorId="0" shapeId="0" xr:uid="{DE1D73FB-B005-4CA5-A866-D9FCE0AFCE02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Fix for graph bug - should be 8/27.</t>
        </r>
      </text>
    </comment>
    <comment ref="P244" authorId="0" shapeId="0" xr:uid="{749AD8DD-06A3-47A6-8EBA-2E693D7DAAA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Fix for graph bug - should be 8/30.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F6" authorId="0" shapeId="0" xr:uid="{823E66DB-9A90-4E72-A0B4-6A8DB78DF94E}">
      <text>
        <r>
          <rPr>
            <b/>
            <sz val="9"/>
            <color rgb="FF000000"/>
            <rFont val="Tahoma"/>
            <family val="2"/>
          </rPr>
          <t xml:space="preserve">	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10-year U.K. gov't bond yield on valuation date.</t>
        </r>
      </text>
    </comment>
    <comment ref="F7" authorId="0" shapeId="0" xr:uid="{240200CE-51B7-4FD0-87FD-D98579CE8641}">
      <text>
        <r>
          <rPr>
            <b/>
            <sz val="9"/>
            <color rgb="FF000000"/>
            <rFont val="Tahoma"/>
            <family val="2"/>
          </rPr>
          <t xml:space="preserve">	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Based on Damodaran Jan 2024	 data for 10 year average ERP	</t>
        </r>
      </text>
    </comment>
    <comment ref="F8" authorId="0" shapeId="0" xr:uid="{C5483CC7-B9E2-4BF8-9087-5D99BEBD5DEB}">
      <text>
        <r>
          <rPr>
            <b/>
            <sz val="9"/>
            <color rgb="FF000000"/>
            <rFont val="Tahoma"/>
            <family val="2"/>
          </rPr>
          <t xml:space="preserve">	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Based on average coupon rate on new "Additional Loans" tranche; best represents cost of *new* facilities/issuances.</t>
        </r>
      </text>
    </comment>
    <comment ref="F9" authorId="0" shapeId="0" xr:uid="{4D079045-9147-402E-85C5-0FE2DA19ABFE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Preferred Stock.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H9" authorId="0" shapeId="0" xr:uid="{D768F9B3-1E53-48ED-95B1-3B8B22ECCB04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New minimum rate, up from 12.5%.</t>
        </r>
      </text>
    </comment>
    <comment ref="H10" authorId="0" shapeId="0" xr:uid="{18C84C89-80A2-4841-B143-731C74EF678C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New minimum rate, up from ~14% (and down from 18% Swiss rate in previous years).</t>
        </r>
      </text>
    </comment>
    <comment ref="H11" authorId="0" shapeId="0" xr:uid="{3E1D1F36-ED17-488B-A219-FE05E508181F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Matching the EZJ tax rate in the U.K. (higher 25% rate taking effect soon).</t>
        </r>
      </text>
    </comment>
    <comment ref="H12" authorId="0" shapeId="0" xr:uid="{E65B3641-6A6F-4BB4-8A9C-D7BF6A2B1481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New corporate tax rate taking effect in the next year in the UAE.</t>
        </r>
      </text>
    </comment>
    <comment ref="H13" authorId="0" shapeId="0" xr:uid="{6574519F-DD98-4163-AE76-0862E021A1BE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Using the standard corporate tax rate in Turkey.</t>
        </r>
      </text>
    </comment>
    <comment ref="H14" authorId="0" shapeId="0" xr:uid="{43FBF9DB-F800-4AA0-A1AA-1D9512C58E5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Norway corporate tax rate.</t>
        </r>
      </text>
    </comment>
    <comment ref="H15" authorId="0" shapeId="0" xr:uid="{E8F9A88F-09C2-4343-AB6F-06B9511D9587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Corporate tax rate in Kuwait.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F15" authorId="0" shapeId="0" xr:uid="{01912575-B5D7-4A0A-8756-1DABFE8D35BD}">
      <text>
        <r>
          <rPr>
            <b/>
            <sz val="9"/>
            <color rgb="FF000000"/>
            <rFont val="Tahoma"/>
            <family val="2"/>
          </rPr>
          <t xml:space="preserve">	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310M EUR for 49% here: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https://www.nytimes.com/2005/03/23/business/worldbusiness/switzerland-clears-sale-of-airline-to-lufthansa.html</t>
        </r>
      </text>
    </comment>
  </commentList>
</comments>
</file>

<file path=xl/sharedStrings.xml><?xml version="1.0" encoding="utf-8"?>
<sst xmlns="http://schemas.openxmlformats.org/spreadsheetml/2006/main" count="803" uniqueCount="395">
  <si>
    <t>(£ GBP in Millions Except for Per Share and Per Unit Data)</t>
  </si>
  <si>
    <t>Model Assumptions:</t>
  </si>
  <si>
    <t>Units:</t>
  </si>
  <si>
    <t>Company Name:</t>
  </si>
  <si>
    <t>Name</t>
  </si>
  <si>
    <t>easyJet plc</t>
  </si>
  <si>
    <t>Bond Price = 96.39 as per BBG</t>
  </si>
  <si>
    <t>Ticker:</t>
  </si>
  <si>
    <t>LSE:EZJ</t>
  </si>
  <si>
    <t>YTM = 3.074</t>
  </si>
  <si>
    <t>Conversion Units:</t>
  </si>
  <si>
    <t>#</t>
  </si>
  <si>
    <t>Debt Funding Percentage:</t>
  </si>
  <si>
    <t>%</t>
  </si>
  <si>
    <t>Operating Scenario:</t>
  </si>
  <si>
    <t>(See DCF tab to select)</t>
  </si>
  <si>
    <t>Maximum (Total Debt + Lease Liabilities) / EBITDAR:</t>
  </si>
  <si>
    <t>x</t>
  </si>
  <si>
    <t>Maximum (Total Debt + Lease Liabilities) / Total Capital:</t>
  </si>
  <si>
    <t>Fiscal Year:</t>
  </si>
  <si>
    <t>Year</t>
  </si>
  <si>
    <t>Projected (Annual):</t>
  </si>
  <si>
    <t>Historical:</t>
  </si>
  <si>
    <t>Financial Statement Assumptions:</t>
  </si>
  <si>
    <t>Revenue Drivers:</t>
  </si>
  <si>
    <t>Available Seat Kilometres (ASK):</t>
  </si>
  <si>
    <t>Millions KM</t>
  </si>
  <si>
    <t>Selected YoY Growth Rate:</t>
  </si>
  <si>
    <t>Base</t>
  </si>
  <si>
    <t>Downside</t>
  </si>
  <si>
    <t>XT Downside</t>
  </si>
  <si>
    <t>Selected Load Factor:</t>
  </si>
  <si>
    <t>Revenue Passenger Kilometres (RPK):</t>
  </si>
  <si>
    <t>YoY Growth Rate:</t>
  </si>
  <si>
    <t>Passenger Revenue:</t>
  </si>
  <si>
    <t>£ M</t>
  </si>
  <si>
    <t>Yield (Revenue per RPK):</t>
  </si>
  <si>
    <t>p / KM</t>
  </si>
  <si>
    <t>Ancillary Revenue:</t>
  </si>
  <si>
    <t>Expense Drivers:</t>
  </si>
  <si>
    <t>Non-Fuel Costs per ASK:</t>
  </si>
  <si>
    <t>p per ASK</t>
  </si>
  <si>
    <t>Selected Fuel Costs per ASK:</t>
  </si>
  <si>
    <t>Lease Depreciation per ASK:</t>
  </si>
  <si>
    <t>Depreciation &amp; Amortisation per ASK:</t>
  </si>
  <si>
    <t>Tax Rate:</t>
  </si>
  <si>
    <t>Balance Sheet and Cash Flow Statement Drivers:</t>
  </si>
  <si>
    <t>Accounts Receivable % LTM Revenue:</t>
  </si>
  <si>
    <t>Deferred Revenue % LTM Revenue:</t>
  </si>
  <si>
    <t>Payables % LTM Operating Expenses:</t>
  </si>
  <si>
    <t>Other Liabilities % LTM Operating Expenses:</t>
  </si>
  <si>
    <t>Cash Adjustment to Interest % Book Interest:</t>
  </si>
  <si>
    <t>Other Operational Items % Revenue:</t>
  </si>
  <si>
    <t>CapEx &amp; Intangible Purchases per ASK:</t>
  </si>
  <si>
    <t>ROU Asset Additions per ASK:</t>
  </si>
  <si>
    <t>Dividends % LTM Net Income:</t>
  </si>
  <si>
    <t>Other Financing Items % Revenue:</t>
  </si>
  <si>
    <t>Lease Principal Repayments per ASK:</t>
  </si>
  <si>
    <t>FX Rate Effects % Revenue:</t>
  </si>
  <si>
    <t>Beginning Net Operating Losses:</t>
  </si>
  <si>
    <t>(+) NOLs Created:</t>
  </si>
  <si>
    <t>(-) NOLs Used:</t>
  </si>
  <si>
    <t>Ending NOL Balance:</t>
  </si>
  <si>
    <t>NOL-Adjusted Pre-Tax Income:</t>
  </si>
  <si>
    <t>Cash Taxes Payable:</t>
  </si>
  <si>
    <t>Deferred Taxes:</t>
  </si>
  <si>
    <t>Income Statement:</t>
  </si>
  <si>
    <t>Total Revenue:</t>
  </si>
  <si>
    <t>(-) Non-Fuel Costs:</t>
  </si>
  <si>
    <t>(-) Fuel Costs:</t>
  </si>
  <si>
    <t>EBITDAR:</t>
  </si>
  <si>
    <t>Lease and Depreciation Costs:</t>
  </si>
  <si>
    <t>(-) Lease Depreciation:</t>
  </si>
  <si>
    <t>(-) Impairments:</t>
  </si>
  <si>
    <t>(-) Depreciation &amp; Amortisation:</t>
  </si>
  <si>
    <t>Total Lease and Depreciation Costs:</t>
  </si>
  <si>
    <t>Operating Income (EBIT):</t>
  </si>
  <si>
    <t>Financing Costs:</t>
  </si>
  <si>
    <t>(+) Interest Income:</t>
  </si>
  <si>
    <t>(-) Interest Expense:</t>
  </si>
  <si>
    <t>Net Financing Costs:</t>
  </si>
  <si>
    <t>Pre-Tax Income:</t>
  </si>
  <si>
    <t>(-) Income Taxes:</t>
  </si>
  <si>
    <t>Net Income:</t>
  </si>
  <si>
    <t>Balance Sheet:</t>
  </si>
  <si>
    <t>ASSETS:</t>
  </si>
  <si>
    <t>Cash &amp; Equivalents:</t>
  </si>
  <si>
    <t>Other Assets:</t>
  </si>
  <si>
    <t>Accounts Receivable:</t>
  </si>
  <si>
    <t>Net PP&amp;E &amp; Intangible Assets:</t>
  </si>
  <si>
    <t>ROU Assets:</t>
  </si>
  <si>
    <t>TOTAL ASSETS:</t>
  </si>
  <si>
    <t>LIABILITIES &amp; EQUITY:</t>
  </si>
  <si>
    <t>Deferred Revenue:</t>
  </si>
  <si>
    <t>Payables:</t>
  </si>
  <si>
    <t>Other Liabilities:</t>
  </si>
  <si>
    <t>Lease Liabilities:</t>
  </si>
  <si>
    <t>Debt:</t>
  </si>
  <si>
    <t>TOTAL LIABILITIES:</t>
  </si>
  <si>
    <t>EQUITY:</t>
  </si>
  <si>
    <t>TOTAL LIABILITIES + EQUITY:</t>
  </si>
  <si>
    <t>Balance Check:</t>
  </si>
  <si>
    <t>Cash Flow Statement:</t>
  </si>
  <si>
    <t>CASH FLOW FROM OPERATIONS:</t>
  </si>
  <si>
    <t>Net Income / (Loss):</t>
  </si>
  <si>
    <t>(+) Lease Depreciation:</t>
  </si>
  <si>
    <t>(+) Depreciation &amp; Amortisation:</t>
  </si>
  <si>
    <t>(+/-) Cash Adjustment to Interest:</t>
  </si>
  <si>
    <t>(+/-) Deferred Taxes:</t>
  </si>
  <si>
    <t>(+/-) Other Items:</t>
  </si>
  <si>
    <t>(+/-) Change in Working Capital:</t>
  </si>
  <si>
    <t>Cash Flow from Operations:</t>
  </si>
  <si>
    <t>CASH FLOW FROM INVESTING:</t>
  </si>
  <si>
    <t>(-) CapEx &amp; Intangible Purchases:</t>
  </si>
  <si>
    <t>(+) Net Sale and Leaseback Proceeds:</t>
  </si>
  <si>
    <t>(-) ROU Asset Additions:</t>
  </si>
  <si>
    <t>Cash Flow from Investing:</t>
  </si>
  <si>
    <t>CASH FLOW FROM FINANCING:</t>
  </si>
  <si>
    <t>(+) Net Share Issuance / (-) Repurchases:</t>
  </si>
  <si>
    <t>(+) Debt Issuances / (-) Repayments:</t>
  </si>
  <si>
    <t>(-) Dividends:</t>
  </si>
  <si>
    <t>(+) Lease Liability Additions:</t>
  </si>
  <si>
    <t>(-) Lease Principal Repayments:</t>
  </si>
  <si>
    <t>Cash Flow from Financing:</t>
  </si>
  <si>
    <t>(+/-) FX Rate Effects:</t>
  </si>
  <si>
    <t>Beginning Cash:</t>
  </si>
  <si>
    <t>Net Change in Cash:</t>
  </si>
  <si>
    <t>Ending Cash:</t>
  </si>
  <si>
    <t>Debt &amp; Equity Schedule:</t>
  </si>
  <si>
    <t>(+) Drawn Term Loans:</t>
  </si>
  <si>
    <t>(+) Eurobonds:</t>
  </si>
  <si>
    <t>(+) Additional Loans:</t>
  </si>
  <si>
    <t>Total Debt:</t>
  </si>
  <si>
    <t>Eurobonds - Maximum Draw:</t>
  </si>
  <si>
    <t>Term Loans - Maximum Draw:</t>
  </si>
  <si>
    <t>Term Loans - Annual Principal Amortisation:</t>
  </si>
  <si>
    <t>Eurobond Average Coupon Rate:</t>
  </si>
  <si>
    <t>Term Loan Interest Rate:</t>
  </si>
  <si>
    <t>Additional Loan Average Coupon Rate:</t>
  </si>
  <si>
    <t>Term Loan Spread:</t>
  </si>
  <si>
    <t>Benchmark Rate:</t>
  </si>
  <si>
    <t>Approximate Lease Discount Rate:</t>
  </si>
  <si>
    <t>Lease Interest:</t>
  </si>
  <si>
    <t>Net Interest Expense:</t>
  </si>
  <si>
    <t>(-) Eurobond Maturities:</t>
  </si>
  <si>
    <t>(-) Term Loan Amortisation:</t>
  </si>
  <si>
    <t>(-) Term Loan Maturities:</t>
  </si>
  <si>
    <t>Total Mandatory Repayments:</t>
  </si>
  <si>
    <t>Minimum Cash (Def. Rev. +):</t>
  </si>
  <si>
    <t>Minimum Cash Required:</t>
  </si>
  <si>
    <t>Cash Before Additional Funding / Repayments:</t>
  </si>
  <si>
    <t>Funding Required / (Excess Liquidity):</t>
  </si>
  <si>
    <t>Term Loan Repayments:</t>
  </si>
  <si>
    <t>Debt Funding Required:</t>
  </si>
  <si>
    <t>Equity Funding Required:</t>
  </si>
  <si>
    <t>(+) Additional Term Loan Draws:</t>
  </si>
  <si>
    <t>(+) Additional Eurobond Issuances:</t>
  </si>
  <si>
    <t>(+) Additional Loans Issued:</t>
  </si>
  <si>
    <t>(+) Additional Equity Issued:</t>
  </si>
  <si>
    <t>Total Additional Funding:</t>
  </si>
  <si>
    <t>Net Change in Debt:</t>
  </si>
  <si>
    <t>Net Change in Equity:</t>
  </si>
  <si>
    <t>Key Metrics &amp; Ratios:</t>
  </si>
  <si>
    <t>LTM EBITDAR:</t>
  </si>
  <si>
    <t>LTM Interest Expense:</t>
  </si>
  <si>
    <t>LTM Net Interest Expense:</t>
  </si>
  <si>
    <t>Total Debt + Lease Liabilities:</t>
  </si>
  <si>
    <t>Net Debt + Lease Liabilities:</t>
  </si>
  <si>
    <t>Capital Employed:</t>
  </si>
  <si>
    <t>Normalised Operating Profit After Tax (NOPAT):</t>
  </si>
  <si>
    <t>Return on Capital Employed (ROCE):</t>
  </si>
  <si>
    <t>YoY Revenue Growth:</t>
  </si>
  <si>
    <t>Operating Margin:</t>
  </si>
  <si>
    <t>EBITDAR Margin:</t>
  </si>
  <si>
    <t>Net Margin:</t>
  </si>
  <si>
    <t>Maximum (Total Debt + Lease Liabilities) / EBITDAR</t>
  </si>
  <si>
    <t>(Total Debt + Lease Liabilities) / EBITDAR</t>
  </si>
  <si>
    <t>(Net Debt + Lease Liabilities) / EBITDAR:</t>
  </si>
  <si>
    <t>EBITDAR / Interest Expense:</t>
  </si>
  <si>
    <t>EBITDAR / Net Interest Expense:</t>
  </si>
  <si>
    <t>Maximum (Total Debt + Lease Liabilities) / Total Capital</t>
  </si>
  <si>
    <t>(Total Debt + Lease Liabilities) / Total Capital</t>
  </si>
  <si>
    <t>(Net Debt + Lease Liabilities) / Total Capital:</t>
  </si>
  <si>
    <t>Terminal Value - Multiples Method:</t>
  </si>
  <si>
    <t>Terminal Value - Perpetuity Growth Method:</t>
  </si>
  <si>
    <t>Median CY23 TEV / EBITDA of Comps:</t>
  </si>
  <si>
    <t>Expected Long-Term GDP Growth:</t>
  </si>
  <si>
    <t>Valuation Date:</t>
  </si>
  <si>
    <t>Date</t>
  </si>
  <si>
    <t>Median CY23 TEV / EBITDA of Target:</t>
  </si>
  <si>
    <t>Stub Period Fraction:</t>
  </si>
  <si>
    <t>Baseline Terminal EBITDA Multiple:</t>
  </si>
  <si>
    <t>Baseline Terminal FCF Growth Rate:</t>
  </si>
  <si>
    <t>Current Share Price:</t>
  </si>
  <si>
    <t>£ / Share</t>
  </si>
  <si>
    <t>Diluted Shares Outstanding:</t>
  </si>
  <si>
    <t>M Shares</t>
  </si>
  <si>
    <t>Discount Rate (WACC):</t>
  </si>
  <si>
    <t>Baseline Terminal Value:</t>
  </si>
  <si>
    <t>Current Equity Value:</t>
  </si>
  <si>
    <t>Implied Terminal FCF Growth Rate:</t>
  </si>
  <si>
    <t>Implied Terminal EBITDA Multiple:</t>
  </si>
  <si>
    <t>(-) Cash &amp; Investments:</t>
  </si>
  <si>
    <t>(-) Net Operating Losses:</t>
  </si>
  <si>
    <t>(+) PV of Terminal Value:</t>
  </si>
  <si>
    <t>(+) Total Debt:</t>
  </si>
  <si>
    <t>(+) PV of Year 10 NOL Balance:</t>
  </si>
  <si>
    <t>(+) Preferred Stock:</t>
  </si>
  <si>
    <t>(+) PV of UFCFs:</t>
  </si>
  <si>
    <t>(+) Finance &amp; Operating Leases:</t>
  </si>
  <si>
    <t>Implied Enterprise Value:</t>
  </si>
  <si>
    <t>(+) Noncontrolling Interests:</t>
  </si>
  <si>
    <t>(+) Unfunded Pensions:</t>
  </si>
  <si>
    <t>% of Implied TEV from Terminal Value:</t>
  </si>
  <si>
    <t>Current Enterprise Value Incl. Leases:</t>
  </si>
  <si>
    <t>(+) Cash &amp; Investments:</t>
  </si>
  <si>
    <t>(+) Net Operating Losses:</t>
  </si>
  <si>
    <t>(-) Total Debt:</t>
  </si>
  <si>
    <t>(-) Preferred Stock:</t>
  </si>
  <si>
    <t>(-) Finance &amp; Operating Leases:</t>
  </si>
  <si>
    <t>(-) Noncontrolling Interests:</t>
  </si>
  <si>
    <t>(-) Unfunded Pensions:</t>
  </si>
  <si>
    <t>Implied Equity Value:</t>
  </si>
  <si>
    <t>Implied Share Price from DCF:</t>
  </si>
  <si>
    <t>Premium / (Discount) to Current:</t>
  </si>
  <si>
    <t>Assumptions and Drivers:</t>
  </si>
  <si>
    <t>Lease Interest per ASK:</t>
  </si>
  <si>
    <t>Revenue:</t>
  </si>
  <si>
    <t>Revenue Growth Rate:</t>
  </si>
  <si>
    <t>Growth Rate:</t>
  </si>
  <si>
    <t>(-) Lease Interest Element:</t>
  </si>
  <si>
    <t>EBIT After Full Lease Expense Deduction:</t>
  </si>
  <si>
    <t>Beginning NOL Balance:</t>
  </si>
  <si>
    <t>NOL-Adjusted Operating Income (EBIT):</t>
  </si>
  <si>
    <t>(-) Cash Taxes, Excluding Effect of Non-Lease Debt:</t>
  </si>
  <si>
    <t>Net Operating Profit After Taxes (NOPAT):</t>
  </si>
  <si>
    <t>Adjustments for Non-Cash Charges:</t>
  </si>
  <si>
    <t>(+) Depreciation &amp; Amortisation (PP&amp;E/Intangibles):</t>
  </si>
  <si>
    <t>D&amp;A % Revenue:</t>
  </si>
  <si>
    <t>% Change in Revenue:</t>
  </si>
  <si>
    <t>% Revenue:</t>
  </si>
  <si>
    <t>(-) Capital Expenditures &amp; Intangible Purchases:</t>
  </si>
  <si>
    <t>Unlevered Free Cash Flow:</t>
  </si>
  <si>
    <t>Unlevered Free Cash Flow for Remainder:</t>
  </si>
  <si>
    <t>PV of Unlevered Free Cash Flow:</t>
  </si>
  <si>
    <t>Cumulative Discount Factor - Normal:</t>
  </si>
  <si>
    <t>Cumulative Discount Factor - Mid-Year:</t>
  </si>
  <si>
    <t>Normal Discount Period:</t>
  </si>
  <si>
    <t>Mid-Year Discount Period:</t>
  </si>
  <si>
    <t>Margin:</t>
  </si>
  <si>
    <t>Sensitivity Analyses:</t>
  </si>
  <si>
    <t>Terminal TEV / EBITDA Multiple:</t>
  </si>
  <si>
    <t>Terminal FCF Growth Rate:</t>
  </si>
  <si>
    <t>Supporting Data (Sorted by revenue in ascending order):</t>
  </si>
  <si>
    <t>EBITDA:</t>
  </si>
  <si>
    <t>Rev. Multiples:</t>
  </si>
  <si>
    <t>EBITDA Multiples:</t>
  </si>
  <si>
    <t>ISE:RYA</t>
  </si>
  <si>
    <t>AIM:JET2</t>
  </si>
  <si>
    <t>LSE:WIZZ</t>
  </si>
  <si>
    <t>IBSE:PGSUS</t>
  </si>
  <si>
    <t>OB:NAS</t>
  </si>
  <si>
    <t>DFM:AIRARABIA</t>
  </si>
  <si>
    <t>KWSE:JAZEERA</t>
  </si>
  <si>
    <t>Data for Graphs (Sorted by Revenue CAGR in ascending order):</t>
  </si>
  <si>
    <t>2-Year Revenue CAGR:</t>
  </si>
  <si>
    <t>2-Year EBITDA CAGR:</t>
  </si>
  <si>
    <t>Year 2 Rev. Multiple:</t>
  </si>
  <si>
    <t>Year 2 EBITDA Multiple:</t>
  </si>
  <si>
    <t>Discount Rate Calculations - Assumptions:</t>
  </si>
  <si>
    <t>Risk-Free Rate:</t>
  </si>
  <si>
    <t>Equity Risk Premium:</t>
  </si>
  <si>
    <t>Pre-Tax Cost of Debt:</t>
  </si>
  <si>
    <t>Cost of Preferred Stock:</t>
  </si>
  <si>
    <t>Comparable Companies - Unlevered Beta Calculation:</t>
  </si>
  <si>
    <t>Levered</t>
  </si>
  <si>
    <t>Preferred</t>
  </si>
  <si>
    <t>Equity</t>
  </si>
  <si>
    <t>Unlevered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</si>
  <si>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</si>
  <si>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</si>
  <si>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</si>
  <si>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</si>
  <si>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</si>
  <si>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</si>
  <si>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</si>
  <si>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</si>
  <si>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</si>
  <si>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Median:</t>
  </si>
  <si>
    <t>Current Capital Structure:</t>
  </si>
  <si>
    <t>"Optimal" Capital Structure:</t>
  </si>
  <si>
    <t>Cost of Equity Based on Comparables, Current Capital Structure:</t>
  </si>
  <si>
    <t>Cost of Equity Based on Comparables, "Optimal" Capital Structure:</t>
  </si>
  <si>
    <t>Cost of Equity Based on Historical Beta:</t>
  </si>
  <si>
    <t>WACC, Current Capital Structure:</t>
  </si>
  <si>
    <t>WACC, "Optimal" Capital Structure:</t>
  </si>
  <si>
    <t>WACC, Current Capital Structure and Historical Cost of Equity:</t>
  </si>
  <si>
    <t>Average WACC Produced by All Methods:</t>
  </si>
  <si>
    <t>Comparable Public Companies - EMEA Low-Cost Carriers (LCCs) with LTM Revenue Above £100 Million</t>
  </si>
  <si>
    <t>(£ GBP in Millions Except Per Share Amounts in GBP as Stated)</t>
  </si>
  <si>
    <t>(Enterprise Value Includes Operating Lease and Finance Lease Liabilities; EBITDA Excludes Entire Lease Expense with IFRS Accounting)</t>
  </si>
  <si>
    <t>Operating Statistics:</t>
  </si>
  <si>
    <t>Capitalisation</t>
  </si>
  <si>
    <t>2-Year</t>
  </si>
  <si>
    <t>Share</t>
  </si>
  <si>
    <t>Diluted</t>
  </si>
  <si>
    <t>Total</t>
  </si>
  <si>
    <t>Other &amp;</t>
  </si>
  <si>
    <t>Enterprise</t>
  </si>
  <si>
    <t>Revenue</t>
  </si>
  <si>
    <t>EBITDA</t>
  </si>
  <si>
    <t>Net Income</t>
  </si>
  <si>
    <t>EBITDA Margin</t>
  </si>
  <si>
    <t>Company Name</t>
  </si>
  <si>
    <t>Price</t>
  </si>
  <si>
    <t>Shares</t>
  </si>
  <si>
    <t xml:space="preserve">Value </t>
  </si>
  <si>
    <t>Cash</t>
  </si>
  <si>
    <t>Leases</t>
  </si>
  <si>
    <t>NCI</t>
  </si>
  <si>
    <t>CAGR</t>
  </si>
  <si>
    <t>Ryanair Holdings plc</t>
  </si>
  <si>
    <t>Wizz Air Holdings Plc</t>
  </si>
  <si>
    <t>Jet2 plc</t>
  </si>
  <si>
    <t>Air Arabia PJSC</t>
  </si>
  <si>
    <t>Pegasus Hava Tasimaciligi Anonim Sirketi</t>
  </si>
  <si>
    <t>Norwegian Air Shuttle ASA</t>
  </si>
  <si>
    <t>Jazeera Airways K.S.C.P.</t>
  </si>
  <si>
    <t>Maximum</t>
  </si>
  <si>
    <t>75th Percentile</t>
  </si>
  <si>
    <t>Median</t>
  </si>
  <si>
    <t>25th Percentile</t>
  </si>
  <si>
    <t>Minimum</t>
  </si>
  <si>
    <t>Valuation Statistics:</t>
  </si>
  <si>
    <t>Enterprise Value /</t>
  </si>
  <si>
    <t>P / E Multiple</t>
  </si>
  <si>
    <t>Precedent Transactions - EMEA Airline Sellers with Transaction Enterprise Values Above £500 Million</t>
  </si>
  <si>
    <t>Announced Between January 1st, 2002, and August 15th, 2024</t>
  </si>
  <si>
    <t>(Only &gt;= 50% Acquisitions; Asset Sales and Divestitures Also Included)</t>
  </si>
  <si>
    <t>Valuation Multiples</t>
  </si>
  <si>
    <t>Transaction</t>
  </si>
  <si>
    <t xml:space="preserve">TEV / </t>
  </si>
  <si>
    <t>Announcement</t>
  </si>
  <si>
    <t>Percentage</t>
  </si>
  <si>
    <t>NTM</t>
  </si>
  <si>
    <t>Acquirer Name</t>
  </si>
  <si>
    <t>Target Name</t>
  </si>
  <si>
    <t>Acquired</t>
  </si>
  <si>
    <t>Air France SA (nka:Air France-KLM SA (ENXTPA:AF))</t>
  </si>
  <si>
    <t>KLM Royal Dutch Airlines (OTCPK:KLMR)</t>
  </si>
  <si>
    <t>British Airways Plc</t>
  </si>
  <si>
    <t>IBERIA LAE SA</t>
  </si>
  <si>
    <t>International Consolidated Airlines Group S.A. (LSE:IAG)</t>
  </si>
  <si>
    <t>Aer Lingus Group DAC</t>
  </si>
  <si>
    <t>Deutsche Lufthansa AG (XTRA:LHA)</t>
  </si>
  <si>
    <t>Austrian Airlines AG</t>
  </si>
  <si>
    <t>Swiss International Air Lines AG</t>
  </si>
  <si>
    <t>DGN Corporation; Hpgb, SGPS S.A</t>
  </si>
  <si>
    <t>TAP - Transportes Aéreos Portugueses, SGPS, S.A.</t>
  </si>
  <si>
    <t>Blue-Sky Transport Holding ; Langflug ehf ; Naust ehf</t>
  </si>
  <si>
    <t>Icelandair Group hf. (ICSE:ICEAIR)</t>
  </si>
  <si>
    <t>75th</t>
  </si>
  <si>
    <t>25th</t>
  </si>
  <si>
    <t>Applicable</t>
  </si>
  <si>
    <t>Percentile</t>
  </si>
  <si>
    <t>Company</t>
  </si>
  <si>
    <t>Methodology Name</t>
  </si>
  <si>
    <t>Multiple</t>
  </si>
  <si>
    <t>Figure</t>
  </si>
  <si>
    <t>Public Company Comparables:</t>
  </si>
  <si>
    <t>Precedent Transactions:</t>
  </si>
  <si>
    <t>NTM TEV / Revenue:</t>
  </si>
  <si>
    <t>NTM TEV / EBITDA:</t>
  </si>
  <si>
    <t>Discounted Cash Flow Analysis:</t>
  </si>
  <si>
    <t>Implied Enterprise Value Incl. Op. Leases:</t>
  </si>
  <si>
    <t>Implied Enterprise Value or Equity Value at a Range of Multiples:</t>
  </si>
  <si>
    <t>Enterprise Value --&gt;</t>
  </si>
  <si>
    <t>Equity Value --&gt;</t>
  </si>
  <si>
    <t>Implied Share Price:</t>
  </si>
  <si>
    <t>Min.</t>
  </si>
  <si>
    <t>Max</t>
  </si>
  <si>
    <t>Min Point</t>
  </si>
  <si>
    <t>25th Point</t>
  </si>
  <si>
    <t>Median Point</t>
  </si>
  <si>
    <t>75th Point</t>
  </si>
  <si>
    <t>Max Point</t>
  </si>
  <si>
    <t>Current Share Price</t>
  </si>
  <si>
    <t>P/E</t>
  </si>
  <si>
    <t>P/B</t>
  </si>
  <si>
    <t>TTM EPS</t>
  </si>
  <si>
    <t>10 Yr Avg EPS</t>
  </si>
  <si>
    <t>FWRD 12 M EPS</t>
  </si>
  <si>
    <t>Last Year  EPS</t>
  </si>
  <si>
    <t>BVPS</t>
  </si>
  <si>
    <t>Shareholders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</si>
</sst>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%\)"/>
    <numFmt numFmtId="165" formatCode="_-[$£-809]* #,##0_-;\-[$£-809]* #,##0_-;_-[$£-809]* &quot;-&quot;_-;_-@_-"/>
    <numFmt numFmtId="166" formatCode="&quot;1H&quot;\ yy"/>
    <numFmt numFmtId="167" formatCode="_-[$£-809]* #,##0.00_-;\-[$£-809]* #,##0.00_-;_-[$£-809]* &quot;-&quot;??_-;_-@_-"/>
    <numFmt numFmtId="168" formatCode="&quot;2H&quot;\ yy"/>
    <numFmt numFmtId="169" formatCode="#,##0;\(#,##0\);&quot;OK&quot;;&quot;ERROR&quot;"/>
    <numFmt numFmtId="170" formatCode="&quot;FY&quot;\ yy"/>
    <numFmt numFmtId="171" formatCode="0.0%"/>
    <numFmt numFmtId="172" formatCode="0.00%;\(0.00%\)"/>
    <numFmt numFmtId="173" formatCode="0.0\ \x;\(0.0\ \x\)"/>
    <numFmt numFmtId="174" formatCode="yyyy\-mm\-dd"/>
    <numFmt numFmtId="175" formatCode="_(0.0\ \x_);\(0.0\ \x\);_(&quot;–&quot;_);_(@_)"/>
    <numFmt numFmtId="176" formatCode="_ [$¥-804]* #,##0.00_ ;_ [$¥-804]* \-#,##0.00_ ;_ [$¥-804]* &quot;-&quot;??_ ;_ @_ "/>
    <numFmt numFmtId="177" formatCode="_(&quot;$&quot;* #,##0.0_);_(&quot;$&quot;* \(#,##0.0\);_(&quot;$&quot;* &quot;-&quot;?_);_(@_)"/>
    <numFmt numFmtId="178" formatCode="0.0\ \x"/>
    <numFmt numFmtId="179" formatCode="_(* #,##0.000_);_(* \(#,##0.000\);_(* &quot;-&quot;???_);_(@_)"/>
    <numFmt numFmtId="180" formatCode="_ [$¥-804]* #,##0.0_ ;_ [$¥-804]* \-#,##0.0_ ;_ [$¥-804]* &quot;-&quot;?_ ;_ @_ "/>
    <numFmt numFmtId="181" formatCode="_(#,##0.00%_);\(#,##0.00%\);_(&quot;–&quot;_)_%;_(@_)_%"/>
    <numFmt numFmtId="182" formatCode="_(* #,##0.0_);_(* \(#,##0.0\);_(* &quot;-&quot;?_);_(@_)"/>
    <numFmt numFmtId="183" formatCode="_(0.0%_);\(0.0%\);_(&quot;–&quot;_);_(@_)"/>
    <numFmt numFmtId="184" formatCode="_(* #,##0.000_);_(* \(#,##0.000\);_(* &quot;-&quot;?_);_(@_)"/>
    <numFmt numFmtId="185" formatCode="&quot;FY&quot;yy"/>
    <numFmt numFmtId="186" formatCode="0.00%_);\(0.00%\);\-_%_);@_)"/>
    <numFmt numFmtId="187" formatCode="0.00\ \x;\(0.00\ \x\)"/>
    <numFmt numFmtId="188" formatCode="_(0.00%_);\(0.00%\);_(&quot;–&quot;_)_%;_(@_)_%"/>
    <numFmt numFmtId="189" formatCode="_(#,##0.00_)_%;\(#,##0.00\)_%;_(&quot;–&quot;_)_%;_(@_)_%"/>
    <numFmt numFmtId="190" formatCode="_(0.0%_);\(0.0%\);_(&quot;–&quot;_)_%;_(@_)_%"/>
    <numFmt numFmtId="191" formatCode="_(#,##0.00_);\(#,##0.00\);_(&quot;–&quot;_);_(@_)"/>
    <numFmt numFmtId="192" formatCode="_(#,##0.0%_);\(#,##0.0%\);_(&quot;–&quot;_)_%;_(@_)_%"/>
    <numFmt numFmtId="193" formatCode="_(&quot;$&quot;* #,##0.0_);_(&quot;$&quot;* \(#,##0.0\);_(&quot;$&quot;* &quot;-&quot;??_);_(@_)"/>
    <numFmt numFmtId="194" formatCode="_(* #,##0.0_);_(* \(#,##0.0\);_(* &quot;-&quot;??_);_(@_)"/>
    <numFmt numFmtId="195" formatCode="_(* #,##0_);_(* \(#,##0\);_(* &quot;-&quot;?_);_(@_)"/>
    <numFmt numFmtId="196" formatCode="_-[$£-809]* #,##0_-;\-[$£-809]* #,##0_-;_-[$£-809]* &quot;-&quot;?_-;_-@_-"/>
    <numFmt numFmtId="197" formatCode="_(* #,##0_);_(* \(#,##0\);_(* &quot;-&quot;??_);_(@_)"/>
    <numFmt numFmtId="198" formatCode="_-[$£-809]* #,##0.0_-;\-[$£-809]* #,##0.0_-;_-[$£-809]* &quot;-&quot;?_-;_-@_-"/>
    <numFmt numFmtId="199" formatCode="0.000"/>
    <numFmt numFmtId="200" formatCode="0.0000"/>
    <numFmt numFmtId="201" formatCode="_(* #,##0.000_);_(* \(#,##0.000\);_(* &quot;-&quot;??_);_(@_)"/>
  </numFmts>
  <fonts count="5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FF0000"/>
      <name val="Calibri"/>
      <family val="2"/>
      <scheme val="minor"/>
    </font>
    <font>
      <i/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0000FF"/>
      <name val="Calibri"/>
      <family val="2"/>
    </font>
    <font>
      <sz val="12"/>
      <color rgb="FFFF0000"/>
      <name val="Calibri"/>
      <family val="2"/>
    </font>
    <font>
      <sz val="12"/>
      <color rgb="FF00B050"/>
      <name val="Calibri"/>
      <family val="2"/>
    </font>
    <font>
      <b/>
      <sz val="12"/>
      <color indexed="9"/>
      <name val="Calibri"/>
      <family val="2"/>
      <scheme val="minor"/>
    </font>
    <font>
      <sz val="12"/>
      <name val="Calibri"/>
      <family val="2"/>
    </font>
    <font>
      <b/>
      <u/>
      <sz val="12"/>
      <color indexed="9"/>
      <name val="Calibri"/>
      <family val="2"/>
      <scheme val="minor"/>
    </font>
    <font>
      <u/>
      <sz val="12"/>
      <color indexed="9"/>
      <name val="Calibri"/>
      <family val="2"/>
      <scheme val="minor"/>
    </font>
    <font>
      <sz val="12"/>
      <color indexed="9"/>
      <name val="Calibri"/>
      <family val="2"/>
      <scheme val="minor"/>
    </font>
    <font>
      <sz val="8"/>
      <color indexed="8"/>
      <name val="Arial"/>
      <family val="2"/>
    </font>
    <font>
      <sz val="12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u/>
      <sz val="12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203764"/>
        <bgColor rgb="FF000000"/>
      </patternFill>
    </fill>
  </fills>
  <borders count="4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/>
      </bottom>
      <diagonal/>
    </border>
  </borders>
  <cellStyleXfs count="13">
    <xf numFmtId="0" fontId="0" fillId="0" borderId="0"/>
    <xf numFmtId="0" fontId="17" fillId="5" borderId="1" applyNumberFormat="0" applyFont="0" applyAlignment="0" applyProtection="0"/>
    <xf numFmtId="0" fontId="18" fillId="0" borderId="0"/>
    <xf numFmtId="0" fontId="17" fillId="0" borderId="0"/>
    <xf numFmtId="0" fontId="35" fillId="0" borderId="0" applyAlignment="0"/>
    <xf numFmtId="0" fontId="37" fillId="0" borderId="0" applyNumberFormat="0" applyFill="0" applyBorder="0" applyAlignment="0" applyProtection="0"/>
    <xf numFmtId="0" fontId="17" fillId="0" borderId="0"/>
    <xf numFmtId="0" fontId="17" fillId="0" borderId="0"/>
    <xf numFmtId="0" fontId="40" fillId="0" borderId="0"/>
    <xf numFmtId="0" fontId="17" fillId="0" borderId="0"/>
    <xf numFmtId="0" fontId="18" fillId="0" borderId="0"/>
    <xf numFmtId="0" fontId="43" fillId="0" borderId="0" applyNumberFormat="0" applyFill="0" applyBorder="0" applyAlignment="0" applyProtection="0"/>
    <xf numFmtId="43" fontId="17" fillId="0" borderId="0" applyFont="0" applyFill="0" applyBorder="0" applyAlignment="0" applyProtection="0"/>
  </cellStyleXfs>
  <cellXfs count="45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3" fontId="4" fillId="0" borderId="0" xfId="0" applyNumberFormat="1" applyFont="1"/>
    <xf numFmtId="165" fontId="4" fillId="0" borderId="0" xfId="0" applyNumberFormat="1" applyFont="1"/>
    <xf numFmtId="41" fontId="4" fillId="0" borderId="0" xfId="0" applyNumberFormat="1" applyFont="1"/>
    <xf numFmtId="0" fontId="5" fillId="2" borderId="0" xfId="0" applyFont="1" applyFill="1"/>
    <xf numFmtId="0" fontId="6" fillId="2" borderId="2" xfId="0" applyFont="1" applyFill="1" applyBorder="1"/>
    <xf numFmtId="0" fontId="5" fillId="2" borderId="2" xfId="0" applyFont="1" applyFill="1" applyBorder="1"/>
    <xf numFmtId="0" fontId="7" fillId="2" borderId="2" xfId="0" applyFont="1" applyFill="1" applyBorder="1" applyAlignment="1">
      <alignment horizontal="center"/>
    </xf>
    <xf numFmtId="0" fontId="8" fillId="3" borderId="3" xfId="0" applyFont="1" applyFill="1" applyBorder="1"/>
    <xf numFmtId="0" fontId="0" fillId="3" borderId="3" xfId="0" applyFill="1" applyBorder="1"/>
    <xf numFmtId="0" fontId="6" fillId="2" borderId="4" xfId="0" applyFont="1" applyFill="1" applyBorder="1" applyAlignment="1">
      <alignment horizontal="centerContinuous"/>
    </xf>
    <xf numFmtId="166" fontId="6" fillId="2" borderId="2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Continuous"/>
    </xf>
    <xf numFmtId="0" fontId="5" fillId="2" borderId="5" xfId="0" applyFont="1" applyFill="1" applyBorder="1" applyAlignment="1">
      <alignment horizontal="centerContinuous"/>
    </xf>
    <xf numFmtId="168" fontId="6" fillId="2" borderId="2" xfId="0" applyNumberFormat="1" applyFont="1" applyFill="1" applyBorder="1" applyAlignment="1">
      <alignment horizontal="center"/>
    </xf>
    <xf numFmtId="166" fontId="6" fillId="2" borderId="6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8" fillId="0" borderId="0" xfId="0" applyFont="1"/>
    <xf numFmtId="0" fontId="8" fillId="0" borderId="7" xfId="0" applyFont="1" applyBorder="1"/>
    <xf numFmtId="0" fontId="3" fillId="0" borderId="2" xfId="0" applyFont="1" applyBorder="1" applyAlignment="1">
      <alignment horizontal="center"/>
    </xf>
    <xf numFmtId="165" fontId="8" fillId="0" borderId="0" xfId="0" applyNumberFormat="1" applyFont="1"/>
    <xf numFmtId="165" fontId="8" fillId="0" borderId="7" xfId="0" applyNumberFormat="1" applyFont="1" applyBorder="1"/>
    <xf numFmtId="41" fontId="8" fillId="0" borderId="7" xfId="0" applyNumberFormat="1" applyFont="1" applyBorder="1"/>
    <xf numFmtId="41" fontId="8" fillId="0" borderId="0" xfId="0" applyNumberFormat="1" applyFont="1"/>
    <xf numFmtId="9" fontId="0" fillId="0" borderId="0" xfId="0" applyNumberFormat="1"/>
    <xf numFmtId="41" fontId="0" fillId="0" borderId="0" xfId="0" applyNumberFormat="1"/>
    <xf numFmtId="43" fontId="0" fillId="0" borderId="0" xfId="0" applyNumberFormat="1"/>
    <xf numFmtId="41" fontId="9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 indent="1"/>
    </xf>
    <xf numFmtId="41" fontId="10" fillId="0" borderId="0" xfId="0" applyNumberFormat="1" applyFont="1"/>
    <xf numFmtId="41" fontId="11" fillId="0" borderId="0" xfId="0" applyNumberFormat="1" applyFont="1"/>
    <xf numFmtId="41" fontId="1" fillId="0" borderId="0" xfId="0" applyNumberFormat="1" applyFont="1"/>
    <xf numFmtId="166" fontId="8" fillId="3" borderId="3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70" fontId="6" fillId="2" borderId="2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3" fontId="11" fillId="0" borderId="0" xfId="0" applyNumberFormat="1" applyFont="1"/>
    <xf numFmtId="43" fontId="4" fillId="4" borderId="1" xfId="0" applyNumberFormat="1" applyFont="1" applyFill="1" applyBorder="1" applyAlignment="1">
      <alignment horizontal="center"/>
    </xf>
    <xf numFmtId="165" fontId="11" fillId="0" borderId="0" xfId="0" applyNumberFormat="1" applyFont="1"/>
    <xf numFmtId="168" fontId="8" fillId="3" borderId="3" xfId="0" applyNumberFormat="1" applyFont="1" applyFill="1" applyBorder="1" applyAlignment="1">
      <alignment horizontal="center"/>
    </xf>
    <xf numFmtId="170" fontId="8" fillId="3" borderId="3" xfId="0" applyNumberFormat="1" applyFont="1" applyFill="1" applyBorder="1" applyAlignment="1">
      <alignment horizontal="center"/>
    </xf>
    <xf numFmtId="168" fontId="8" fillId="3" borderId="8" xfId="0" applyNumberFormat="1" applyFont="1" applyFill="1" applyBorder="1" applyAlignment="1">
      <alignment horizontal="center"/>
    </xf>
    <xf numFmtId="167" fontId="4" fillId="4" borderId="1" xfId="0" applyNumberFormat="1" applyFont="1" applyFill="1" applyBorder="1" applyAlignment="1">
      <alignment horizontal="center"/>
    </xf>
    <xf numFmtId="168" fontId="8" fillId="3" borderId="9" xfId="0" applyNumberFormat="1" applyFont="1" applyFill="1" applyBorder="1" applyAlignment="1">
      <alignment horizontal="center"/>
    </xf>
    <xf numFmtId="164" fontId="11" fillId="4" borderId="1" xfId="0" applyNumberFormat="1" applyFont="1" applyFill="1" applyBorder="1" applyAlignment="1">
      <alignment horizontal="center"/>
    </xf>
    <xf numFmtId="41" fontId="4" fillId="4" borderId="1" xfId="0" applyNumberFormat="1" applyFont="1" applyFill="1" applyBorder="1" applyAlignment="1">
      <alignment horizontal="center"/>
    </xf>
    <xf numFmtId="41" fontId="12" fillId="4" borderId="1" xfId="0" applyNumberFormat="1" applyFont="1" applyFill="1" applyBorder="1" applyAlignment="1">
      <alignment horizontal="center"/>
    </xf>
    <xf numFmtId="165" fontId="9" fillId="0" borderId="7" xfId="0" applyNumberFormat="1" applyFont="1" applyBorder="1"/>
    <xf numFmtId="0" fontId="11" fillId="0" borderId="0" xfId="0" applyFont="1"/>
    <xf numFmtId="0" fontId="13" fillId="3" borderId="3" xfId="0" applyFont="1" applyFill="1" applyBorder="1"/>
    <xf numFmtId="41" fontId="9" fillId="0" borderId="7" xfId="0" applyNumberFormat="1" applyFont="1" applyBorder="1"/>
    <xf numFmtId="165" fontId="9" fillId="0" borderId="0" xfId="0" applyNumberFormat="1" applyFont="1"/>
    <xf numFmtId="172" fontId="4" fillId="4" borderId="1" xfId="0" applyNumberFormat="1" applyFont="1" applyFill="1" applyBorder="1" applyAlignment="1">
      <alignment horizontal="center"/>
    </xf>
    <xf numFmtId="172" fontId="4" fillId="0" borderId="0" xfId="0" applyNumberFormat="1" applyFont="1" applyAlignment="1">
      <alignment horizontal="center"/>
    </xf>
    <xf numFmtId="172" fontId="11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1" fontId="11" fillId="0" borderId="0" xfId="0" applyNumberFormat="1" applyFont="1" applyAlignment="1">
      <alignment horizontal="center"/>
    </xf>
    <xf numFmtId="0" fontId="9" fillId="3" borderId="3" xfId="0" applyFont="1" applyFill="1" applyBorder="1"/>
    <xf numFmtId="0" fontId="1" fillId="0" borderId="0" xfId="0" applyFont="1" applyAlignment="1">
      <alignment horizontal="left" indent="2"/>
    </xf>
    <xf numFmtId="41" fontId="11" fillId="0" borderId="2" xfId="0" applyNumberFormat="1" applyFont="1" applyBorder="1"/>
    <xf numFmtId="172" fontId="11" fillId="4" borderId="1" xfId="0" applyNumberFormat="1" applyFont="1" applyFill="1" applyBorder="1" applyAlignment="1">
      <alignment horizontal="center"/>
    </xf>
    <xf numFmtId="0" fontId="16" fillId="0" borderId="0" xfId="0" applyFont="1"/>
    <xf numFmtId="168" fontId="6" fillId="2" borderId="10" xfId="0" applyNumberFormat="1" applyFont="1" applyFill="1" applyBorder="1" applyAlignment="1">
      <alignment horizontal="center"/>
    </xf>
    <xf numFmtId="0" fontId="5" fillId="0" borderId="0" xfId="0" applyFont="1"/>
    <xf numFmtId="170" fontId="6" fillId="2" borderId="11" xfId="0" applyNumberFormat="1" applyFont="1" applyFill="1" applyBorder="1" applyAlignment="1">
      <alignment horizontal="center"/>
    </xf>
    <xf numFmtId="0" fontId="11" fillId="0" borderId="0" xfId="2" applyFont="1"/>
    <xf numFmtId="0" fontId="19" fillId="0" borderId="0" xfId="2" applyFont="1"/>
    <xf numFmtId="0" fontId="20" fillId="0" borderId="0" xfId="2" applyFont="1" applyAlignment="1">
      <alignment horizontal="center"/>
    </xf>
    <xf numFmtId="0" fontId="4" fillId="0" borderId="0" xfId="1" applyFont="1" applyFill="1" applyBorder="1" applyAlignment="1"/>
    <xf numFmtId="0" fontId="8" fillId="3" borderId="2" xfId="0" applyFont="1" applyFill="1" applyBorder="1"/>
    <xf numFmtId="0" fontId="1" fillId="3" borderId="2" xfId="0" applyFont="1" applyFill="1" applyBorder="1"/>
    <xf numFmtId="175" fontId="21" fillId="0" borderId="0" xfId="0" applyNumberFormat="1" applyFont="1" applyAlignment="1">
      <alignment horizontal="center"/>
    </xf>
    <xf numFmtId="164" fontId="4" fillId="4" borderId="1" xfId="1" applyNumberFormat="1" applyFont="1" applyFill="1" applyAlignment="1">
      <alignment horizontal="center"/>
    </xf>
    <xf numFmtId="175" fontId="11" fillId="0" borderId="0" xfId="2" applyNumberFormat="1" applyFont="1"/>
    <xf numFmtId="177" fontId="9" fillId="0" borderId="0" xfId="2" applyNumberFormat="1" applyFont="1"/>
    <xf numFmtId="178" fontId="4" fillId="4" borderId="12" xfId="2" applyNumberFormat="1" applyFont="1" applyFill="1" applyBorder="1" applyAlignment="1">
      <alignment horizontal="center"/>
    </xf>
    <xf numFmtId="0" fontId="19" fillId="0" borderId="0" xfId="0" applyFont="1"/>
    <xf numFmtId="0" fontId="1" fillId="0" borderId="0" xfId="0" quotePrefix="1" applyFont="1"/>
    <xf numFmtId="164" fontId="11" fillId="0" borderId="0" xfId="2" applyNumberFormat="1" applyFont="1"/>
    <xf numFmtId="178" fontId="11" fillId="0" borderId="0" xfId="2" applyNumberFormat="1" applyFont="1"/>
    <xf numFmtId="0" fontId="11" fillId="0" borderId="0" xfId="2" applyFont="1" applyAlignment="1">
      <alignment horizontal="left" indent="1"/>
    </xf>
    <xf numFmtId="182" fontId="1" fillId="0" borderId="0" xfId="0" applyNumberFormat="1" applyFont="1"/>
    <xf numFmtId="0" fontId="9" fillId="3" borderId="7" xfId="2" applyFont="1" applyFill="1" applyBorder="1" applyAlignment="1">
      <alignment horizontal="left"/>
    </xf>
    <xf numFmtId="0" fontId="11" fillId="3" borderId="7" xfId="2" applyFont="1" applyFill="1" applyBorder="1"/>
    <xf numFmtId="0" fontId="20" fillId="0" borderId="0" xfId="2" applyFont="1" applyAlignment="1">
      <alignment horizontal="left"/>
    </xf>
    <xf numFmtId="183" fontId="20" fillId="0" borderId="0" xfId="2" applyNumberFormat="1" applyFont="1"/>
    <xf numFmtId="0" fontId="9" fillId="3" borderId="2" xfId="2" applyFont="1" applyFill="1" applyBorder="1"/>
    <xf numFmtId="0" fontId="20" fillId="3" borderId="2" xfId="2" applyFont="1" applyFill="1" applyBorder="1" applyAlignment="1">
      <alignment horizontal="center"/>
    </xf>
    <xf numFmtId="176" fontId="11" fillId="0" borderId="0" xfId="2" applyNumberFormat="1" applyFont="1"/>
    <xf numFmtId="0" fontId="9" fillId="3" borderId="7" xfId="2" applyFont="1" applyFill="1" applyBorder="1"/>
    <xf numFmtId="0" fontId="20" fillId="3" borderId="7" xfId="2" applyFont="1" applyFill="1" applyBorder="1" applyAlignment="1">
      <alignment horizontal="center"/>
    </xf>
    <xf numFmtId="43" fontId="11" fillId="0" borderId="0" xfId="2" applyNumberFormat="1" applyFont="1"/>
    <xf numFmtId="184" fontId="1" fillId="0" borderId="0" xfId="0" applyNumberFormat="1" applyFont="1"/>
    <xf numFmtId="0" fontId="9" fillId="6" borderId="17" xfId="2" applyFont="1" applyFill="1" applyBorder="1" applyAlignment="1">
      <alignment horizontal="left"/>
    </xf>
    <xf numFmtId="0" fontId="9" fillId="6" borderId="7" xfId="2" applyFont="1" applyFill="1" applyBorder="1"/>
    <xf numFmtId="0" fontId="9" fillId="6" borderId="19" xfId="2" applyFont="1" applyFill="1" applyBorder="1" applyAlignment="1">
      <alignment horizontal="left"/>
    </xf>
    <xf numFmtId="0" fontId="9" fillId="6" borderId="2" xfId="2" applyFont="1" applyFill="1" applyBorder="1"/>
    <xf numFmtId="183" fontId="9" fillId="6" borderId="20" xfId="2" applyNumberFormat="1" applyFont="1" applyFill="1" applyBorder="1"/>
    <xf numFmtId="0" fontId="9" fillId="0" borderId="0" xfId="2" applyFont="1"/>
    <xf numFmtId="182" fontId="4" fillId="0" borderId="0" xfId="2" applyNumberFormat="1" applyFont="1"/>
    <xf numFmtId="182" fontId="11" fillId="0" borderId="0" xfId="2" applyNumberFormat="1" applyFont="1"/>
    <xf numFmtId="0" fontId="11" fillId="0" borderId="7" xfId="2" applyFont="1" applyBorder="1"/>
    <xf numFmtId="183" fontId="11" fillId="0" borderId="0" xfId="2" applyNumberFormat="1" applyFont="1"/>
    <xf numFmtId="0" fontId="11" fillId="0" borderId="0" xfId="2" applyFont="1" applyAlignment="1">
      <alignment horizontal="left" indent="2"/>
    </xf>
    <xf numFmtId="0" fontId="4" fillId="0" borderId="0" xfId="2" applyFont="1"/>
    <xf numFmtId="0" fontId="20" fillId="0" borderId="0" xfId="2" applyFont="1" applyAlignment="1">
      <alignment horizontal="left" indent="1"/>
    </xf>
    <xf numFmtId="0" fontId="20" fillId="0" borderId="0" xfId="2" applyFont="1" applyAlignment="1">
      <alignment horizontal="left" indent="2"/>
    </xf>
    <xf numFmtId="176" fontId="22" fillId="3" borderId="0" xfId="2" applyNumberFormat="1" applyFont="1" applyFill="1"/>
    <xf numFmtId="186" fontId="4" fillId="3" borderId="3" xfId="2" applyNumberFormat="1" applyFont="1" applyFill="1" applyBorder="1" applyAlignment="1">
      <alignment horizontal="center"/>
    </xf>
    <xf numFmtId="186" fontId="11" fillId="3" borderId="3" xfId="2" applyNumberFormat="1" applyFont="1" applyFill="1" applyBorder="1" applyAlignment="1">
      <alignment horizontal="center"/>
    </xf>
    <xf numFmtId="186" fontId="9" fillId="3" borderId="3" xfId="2" applyNumberFormat="1" applyFont="1" applyFill="1" applyBorder="1" applyAlignment="1">
      <alignment horizontal="center"/>
    </xf>
    <xf numFmtId="186" fontId="11" fillId="3" borderId="9" xfId="2" applyNumberFormat="1" applyFont="1" applyFill="1" applyBorder="1" applyAlignment="1">
      <alignment horizontal="center"/>
    </xf>
    <xf numFmtId="187" fontId="4" fillId="3" borderId="22" xfId="2" applyNumberFormat="1" applyFont="1" applyFill="1" applyBorder="1" applyAlignment="1">
      <alignment horizontal="center"/>
    </xf>
    <xf numFmtId="187" fontId="11" fillId="3" borderId="22" xfId="2" applyNumberFormat="1" applyFont="1" applyFill="1" applyBorder="1" applyAlignment="1">
      <alignment horizontal="center"/>
    </xf>
    <xf numFmtId="43" fontId="11" fillId="0" borderId="0" xfId="0" applyNumberFormat="1" applyFont="1"/>
    <xf numFmtId="43" fontId="9" fillId="0" borderId="0" xfId="0" applyNumberFormat="1" applyFont="1"/>
    <xf numFmtId="187" fontId="9" fillId="3" borderId="22" xfId="2" applyNumberFormat="1" applyFont="1" applyFill="1" applyBorder="1" applyAlignment="1">
      <alignment horizontal="center"/>
    </xf>
    <xf numFmtId="187" fontId="11" fillId="3" borderId="20" xfId="2" applyNumberFormat="1" applyFont="1" applyFill="1" applyBorder="1" applyAlignment="1">
      <alignment horizontal="center"/>
    </xf>
    <xf numFmtId="172" fontId="4" fillId="3" borderId="22" xfId="2" applyNumberFormat="1" applyFont="1" applyFill="1" applyBorder="1" applyAlignment="1">
      <alignment horizontal="center"/>
    </xf>
    <xf numFmtId="172" fontId="11" fillId="3" borderId="22" xfId="2" applyNumberFormat="1" applyFont="1" applyFill="1" applyBorder="1" applyAlignment="1">
      <alignment horizontal="center"/>
    </xf>
    <xf numFmtId="172" fontId="9" fillId="3" borderId="22" xfId="2" applyNumberFormat="1" applyFont="1" applyFill="1" applyBorder="1" applyAlignment="1">
      <alignment horizontal="center"/>
    </xf>
    <xf numFmtId="172" fontId="11" fillId="3" borderId="21" xfId="2" applyNumberFormat="1" applyFont="1" applyFill="1" applyBorder="1" applyAlignment="1">
      <alignment horizontal="center"/>
    </xf>
    <xf numFmtId="172" fontId="11" fillId="3" borderId="23" xfId="2" applyNumberFormat="1" applyFont="1" applyFill="1" applyBorder="1" applyAlignment="1">
      <alignment horizontal="center"/>
    </xf>
    <xf numFmtId="10" fontId="11" fillId="0" borderId="0" xfId="2" applyNumberFormat="1" applyFont="1"/>
    <xf numFmtId="0" fontId="23" fillId="0" borderId="0" xfId="0" applyFont="1"/>
    <xf numFmtId="0" fontId="24" fillId="0" borderId="0" xfId="0" applyFont="1"/>
    <xf numFmtId="9" fontId="1" fillId="0" borderId="0" xfId="0" applyNumberFormat="1" applyFont="1"/>
    <xf numFmtId="0" fontId="26" fillId="0" borderId="0" xfId="0" applyFont="1"/>
    <xf numFmtId="188" fontId="4" fillId="4" borderId="13" xfId="0" applyNumberFormat="1" applyFont="1" applyFill="1" applyBorder="1" applyAlignment="1">
      <alignment horizontal="center"/>
    </xf>
    <xf numFmtId="188" fontId="27" fillId="0" borderId="0" xfId="0" applyNumberFormat="1" applyFont="1"/>
    <xf numFmtId="188" fontId="11" fillId="4" borderId="13" xfId="0" applyNumberFormat="1" applyFont="1" applyFill="1" applyBorder="1" applyAlignment="1">
      <alignment horizontal="center"/>
    </xf>
    <xf numFmtId="0" fontId="28" fillId="0" borderId="0" xfId="0" applyFont="1"/>
    <xf numFmtId="1" fontId="29" fillId="0" borderId="0" xfId="0" applyNumberFormat="1" applyFont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/>
    </xf>
    <xf numFmtId="1" fontId="29" fillId="0" borderId="0" xfId="0" applyNumberFormat="1" applyFont="1"/>
    <xf numFmtId="0" fontId="21" fillId="0" borderId="0" xfId="0" applyFont="1"/>
    <xf numFmtId="189" fontId="31" fillId="0" borderId="0" xfId="0" applyNumberFormat="1" applyFont="1"/>
    <xf numFmtId="190" fontId="31" fillId="0" borderId="0" xfId="0" applyNumberFormat="1" applyFont="1"/>
    <xf numFmtId="190" fontId="11" fillId="0" borderId="0" xfId="0" applyNumberFormat="1" applyFont="1" applyAlignment="1">
      <alignment horizontal="center" vertical="top" wrapText="1"/>
    </xf>
    <xf numFmtId="191" fontId="1" fillId="0" borderId="0" xfId="0" applyNumberFormat="1" applyFont="1" applyAlignment="1">
      <alignment horizontal="center"/>
    </xf>
    <xf numFmtId="0" fontId="6" fillId="7" borderId="8" xfId="2" applyFont="1" applyFill="1" applyBorder="1"/>
    <xf numFmtId="0" fontId="6" fillId="7" borderId="3" xfId="2" applyFont="1" applyFill="1" applyBorder="1"/>
    <xf numFmtId="189" fontId="6" fillId="7" borderId="3" xfId="2" applyNumberFormat="1" applyFont="1" applyFill="1" applyBorder="1"/>
    <xf numFmtId="42" fontId="6" fillId="7" borderId="3" xfId="2" applyNumberFormat="1" applyFont="1" applyFill="1" applyBorder="1"/>
    <xf numFmtId="9" fontId="6" fillId="7" borderId="3" xfId="2" applyNumberFormat="1" applyFont="1" applyFill="1" applyBorder="1"/>
    <xf numFmtId="43" fontId="6" fillId="7" borderId="9" xfId="2" applyNumberFormat="1" applyFont="1" applyFill="1" applyBorder="1"/>
    <xf numFmtId="189" fontId="11" fillId="0" borderId="7" xfId="2" applyNumberFormat="1" applyFont="1" applyBorder="1"/>
    <xf numFmtId="190" fontId="11" fillId="0" borderId="7" xfId="2" applyNumberFormat="1" applyFont="1" applyBorder="1"/>
    <xf numFmtId="171" fontId="11" fillId="0" borderId="7" xfId="2" applyNumberFormat="1" applyFont="1" applyBorder="1" applyAlignment="1">
      <alignment horizontal="center"/>
    </xf>
    <xf numFmtId="189" fontId="11" fillId="0" borderId="0" xfId="2" applyNumberFormat="1" applyFont="1"/>
    <xf numFmtId="190" fontId="11" fillId="0" borderId="0" xfId="2" applyNumberFormat="1" applyFont="1"/>
    <xf numFmtId="171" fontId="11" fillId="0" borderId="0" xfId="2" applyNumberFormat="1" applyFont="1" applyAlignment="1">
      <alignment horizontal="center"/>
    </xf>
    <xf numFmtId="0" fontId="6" fillId="7" borderId="17" xfId="2" applyFont="1" applyFill="1" applyBorder="1"/>
    <xf numFmtId="0" fontId="6" fillId="7" borderId="7" xfId="2" applyFont="1" applyFill="1" applyBorder="1"/>
    <xf numFmtId="172" fontId="6" fillId="7" borderId="18" xfId="2" applyNumberFormat="1" applyFont="1" applyFill="1" applyBorder="1"/>
    <xf numFmtId="0" fontId="6" fillId="7" borderId="24" xfId="2" applyFont="1" applyFill="1" applyBorder="1"/>
    <xf numFmtId="0" fontId="6" fillId="7" borderId="0" xfId="2" applyFont="1" applyFill="1"/>
    <xf numFmtId="172" fontId="6" fillId="7" borderId="22" xfId="2" applyNumberFormat="1" applyFont="1" applyFill="1" applyBorder="1"/>
    <xf numFmtId="0" fontId="6" fillId="7" borderId="19" xfId="2" applyFont="1" applyFill="1" applyBorder="1"/>
    <xf numFmtId="0" fontId="6" fillId="7" borderId="2" xfId="2" applyFont="1" applyFill="1" applyBorder="1"/>
    <xf numFmtId="172" fontId="6" fillId="7" borderId="20" xfId="2" applyNumberFormat="1" applyFont="1" applyFill="1" applyBorder="1"/>
    <xf numFmtId="188" fontId="6" fillId="7" borderId="18" xfId="2" applyNumberFormat="1" applyFont="1" applyFill="1" applyBorder="1"/>
    <xf numFmtId="188" fontId="6" fillId="7" borderId="22" xfId="2" applyNumberFormat="1" applyFont="1" applyFill="1" applyBorder="1"/>
    <xf numFmtId="188" fontId="6" fillId="7" borderId="20" xfId="2" applyNumberFormat="1" applyFont="1" applyFill="1" applyBorder="1"/>
    <xf numFmtId="188" fontId="6" fillId="7" borderId="9" xfId="2" applyNumberFormat="1" applyFont="1" applyFill="1" applyBorder="1"/>
    <xf numFmtId="0" fontId="23" fillId="0" borderId="0" xfId="2" applyFont="1"/>
    <xf numFmtId="1" fontId="11" fillId="0" borderId="0" xfId="2" applyNumberFormat="1" applyFont="1"/>
    <xf numFmtId="9" fontId="11" fillId="0" borderId="0" xfId="2" applyNumberFormat="1" applyFont="1"/>
    <xf numFmtId="189" fontId="27" fillId="0" borderId="0" xfId="0" applyNumberFormat="1" applyFont="1"/>
    <xf numFmtId="190" fontId="4" fillId="0" borderId="0" xfId="0" applyNumberFormat="1" applyFont="1" applyAlignment="1">
      <alignment horizontal="center" vertical="top" wrapText="1"/>
    </xf>
    <xf numFmtId="192" fontId="11" fillId="0" borderId="0" xfId="2" applyNumberFormat="1" applyFont="1"/>
    <xf numFmtId="43" fontId="4" fillId="0" borderId="0" xfId="2" applyNumberFormat="1" applyFont="1"/>
    <xf numFmtId="0" fontId="11" fillId="0" borderId="17" xfId="2" applyFont="1" applyBorder="1"/>
    <xf numFmtId="44" fontId="11" fillId="0" borderId="7" xfId="2" applyNumberFormat="1" applyFont="1" applyBorder="1"/>
    <xf numFmtId="180" fontId="11" fillId="0" borderId="7" xfId="2" applyNumberFormat="1" applyFont="1" applyBorder="1"/>
    <xf numFmtId="193" fontId="11" fillId="0" borderId="7" xfId="2" applyNumberFormat="1" applyFont="1" applyBorder="1"/>
    <xf numFmtId="192" fontId="11" fillId="0" borderId="7" xfId="2" applyNumberFormat="1" applyFont="1" applyBorder="1"/>
    <xf numFmtId="192" fontId="11" fillId="0" borderId="18" xfId="2" applyNumberFormat="1" applyFont="1" applyBorder="1"/>
    <xf numFmtId="0" fontId="11" fillId="0" borderId="24" xfId="2" applyFont="1" applyBorder="1"/>
    <xf numFmtId="194" fontId="11" fillId="0" borderId="0" xfId="2" applyNumberFormat="1" applyFont="1"/>
    <xf numFmtId="192" fontId="11" fillId="0" borderId="22" xfId="2" applyNumberFormat="1" applyFont="1" applyBorder="1"/>
    <xf numFmtId="0" fontId="11" fillId="0" borderId="19" xfId="2" applyFont="1" applyBorder="1"/>
    <xf numFmtId="0" fontId="9" fillId="0" borderId="2" xfId="2" applyFont="1" applyBorder="1"/>
    <xf numFmtId="43" fontId="11" fillId="0" borderId="2" xfId="2" applyNumberFormat="1" applyFont="1" applyBorder="1"/>
    <xf numFmtId="194" fontId="11" fillId="0" borderId="2" xfId="2" applyNumberFormat="1" applyFont="1" applyBorder="1"/>
    <xf numFmtId="192" fontId="11" fillId="0" borderId="2" xfId="2" applyNumberFormat="1" applyFont="1" applyBorder="1"/>
    <xf numFmtId="192" fontId="11" fillId="0" borderId="20" xfId="2" applyNumberFormat="1" applyFont="1" applyBorder="1"/>
    <xf numFmtId="194" fontId="6" fillId="7" borderId="3" xfId="2" applyNumberFormat="1" applyFont="1" applyFill="1" applyBorder="1"/>
    <xf numFmtId="191" fontId="6" fillId="7" borderId="3" xfId="2" applyNumberFormat="1" applyFont="1" applyFill="1" applyBorder="1" applyAlignment="1">
      <alignment horizontal="center"/>
    </xf>
    <xf numFmtId="192" fontId="6" fillId="7" borderId="3" xfId="2" applyNumberFormat="1" applyFont="1" applyFill="1" applyBorder="1" applyAlignment="1">
      <alignment horizontal="center"/>
    </xf>
    <xf numFmtId="180" fontId="6" fillId="7" borderId="3" xfId="2" applyNumberFormat="1" applyFont="1" applyFill="1" applyBorder="1"/>
    <xf numFmtId="192" fontId="6" fillId="7" borderId="3" xfId="2" applyNumberFormat="1" applyFont="1" applyFill="1" applyBorder="1"/>
    <xf numFmtId="0" fontId="11" fillId="0" borderId="0" xfId="2" applyFont="1" applyAlignment="1">
      <alignment horizontal="center"/>
    </xf>
    <xf numFmtId="0" fontId="9" fillId="0" borderId="0" xfId="2" applyFont="1" applyAlignment="1">
      <alignment horizontal="center"/>
    </xf>
    <xf numFmtId="44" fontId="4" fillId="0" borderId="0" xfId="2" applyNumberFormat="1" applyFont="1"/>
    <xf numFmtId="177" fontId="11" fillId="0" borderId="0" xfId="2" applyNumberFormat="1" applyFont="1"/>
    <xf numFmtId="177" fontId="4" fillId="0" borderId="0" xfId="2" applyNumberFormat="1" applyFont="1"/>
    <xf numFmtId="178" fontId="11" fillId="0" borderId="7" xfId="2" applyNumberFormat="1" applyFont="1" applyBorder="1"/>
    <xf numFmtId="178" fontId="11" fillId="0" borderId="18" xfId="2" applyNumberFormat="1" applyFont="1" applyBorder="1"/>
    <xf numFmtId="178" fontId="11" fillId="0" borderId="22" xfId="2" applyNumberFormat="1" applyFont="1" applyBorder="1"/>
    <xf numFmtId="178" fontId="11" fillId="0" borderId="2" xfId="2" applyNumberFormat="1" applyFont="1" applyBorder="1"/>
    <xf numFmtId="178" fontId="11" fillId="0" borderId="20" xfId="2" applyNumberFormat="1" applyFont="1" applyBorder="1"/>
    <xf numFmtId="44" fontId="6" fillId="7" borderId="3" xfId="2" applyNumberFormat="1" applyFont="1" applyFill="1" applyBorder="1"/>
    <xf numFmtId="178" fontId="6" fillId="7" borderId="3" xfId="2" applyNumberFormat="1" applyFont="1" applyFill="1" applyBorder="1"/>
    <xf numFmtId="178" fontId="6" fillId="7" borderId="0" xfId="2" applyNumberFormat="1" applyFont="1" applyFill="1"/>
    <xf numFmtId="178" fontId="6" fillId="7" borderId="25" xfId="2" applyNumberFormat="1" applyFont="1" applyFill="1" applyBorder="1"/>
    <xf numFmtId="0" fontId="11" fillId="0" borderId="0" xfId="2" quotePrefix="1" applyFont="1"/>
    <xf numFmtId="49" fontId="23" fillId="0" borderId="0" xfId="2" applyNumberFormat="1" applyFont="1"/>
    <xf numFmtId="174" fontId="36" fillId="0" borderId="0" xfId="4" applyNumberFormat="1" applyFont="1" applyAlignment="1">
      <alignment horizontal="center" vertical="top"/>
    </xf>
    <xf numFmtId="192" fontId="4" fillId="0" borderId="0" xfId="2" applyNumberFormat="1" applyFont="1" applyAlignment="1">
      <alignment horizontal="center"/>
    </xf>
    <xf numFmtId="182" fontId="4" fillId="0" borderId="0" xfId="0" applyNumberFormat="1" applyFont="1"/>
    <xf numFmtId="0" fontId="1" fillId="0" borderId="0" xfId="0" applyFont="1" applyAlignment="1">
      <alignment wrapText="1"/>
    </xf>
    <xf numFmtId="177" fontId="0" fillId="0" borderId="0" xfId="0" applyNumberFormat="1"/>
    <xf numFmtId="0" fontId="11" fillId="0" borderId="7" xfId="2" applyFont="1" applyBorder="1" applyAlignment="1">
      <alignment horizontal="right"/>
    </xf>
    <xf numFmtId="0" fontId="11" fillId="0" borderId="0" xfId="2" applyFont="1" applyAlignment="1">
      <alignment horizontal="right"/>
    </xf>
    <xf numFmtId="0" fontId="11" fillId="0" borderId="2" xfId="2" applyFont="1" applyBorder="1" applyAlignment="1">
      <alignment horizontal="right"/>
    </xf>
    <xf numFmtId="0" fontId="38" fillId="0" borderId="0" xfId="5" applyFont="1" applyFill="1" applyBorder="1"/>
    <xf numFmtId="0" fontId="1" fillId="0" borderId="0" xfId="6" applyFont="1"/>
    <xf numFmtId="0" fontId="23" fillId="0" borderId="0" xfId="6" applyFont="1"/>
    <xf numFmtId="178" fontId="21" fillId="0" borderId="0" xfId="0" applyNumberFormat="1" applyFont="1"/>
    <xf numFmtId="43" fontId="1" fillId="0" borderId="0" xfId="0" applyNumberFormat="1" applyFont="1"/>
    <xf numFmtId="0" fontId="8" fillId="0" borderId="0" xfId="0" applyFont="1" applyAlignment="1">
      <alignment horizontal="left"/>
    </xf>
    <xf numFmtId="43" fontId="21" fillId="0" borderId="0" xfId="0" applyNumberFormat="1" applyFont="1"/>
    <xf numFmtId="0" fontId="8" fillId="3" borderId="2" xfId="6" applyFont="1" applyFill="1" applyBorder="1" applyAlignment="1">
      <alignment horizontal="centerContinuous"/>
    </xf>
    <xf numFmtId="0" fontId="1" fillId="3" borderId="2" xfId="6" applyFont="1" applyFill="1" applyBorder="1" applyAlignment="1">
      <alignment horizontal="centerContinuous"/>
    </xf>
    <xf numFmtId="179" fontId="21" fillId="0" borderId="0" xfId="0" applyNumberFormat="1" applyFont="1"/>
    <xf numFmtId="0" fontId="9" fillId="6" borderId="17" xfId="2" applyFont="1" applyFill="1" applyBorder="1"/>
    <xf numFmtId="0" fontId="11" fillId="6" borderId="7" xfId="2" applyFont="1" applyFill="1" applyBorder="1"/>
    <xf numFmtId="0" fontId="9" fillId="6" borderId="19" xfId="2" applyFont="1" applyFill="1" applyBorder="1"/>
    <xf numFmtId="0" fontId="11" fillId="6" borderId="2" xfId="2" applyFont="1" applyFill="1" applyBorder="1"/>
    <xf numFmtId="164" fontId="9" fillId="6" borderId="20" xfId="2" applyNumberFormat="1" applyFont="1" applyFill="1" applyBorder="1"/>
    <xf numFmtId="0" fontId="3" fillId="0" borderId="0" xfId="0" applyFont="1"/>
    <xf numFmtId="0" fontId="1" fillId="0" borderId="0" xfId="7" applyFont="1"/>
    <xf numFmtId="44" fontId="21" fillId="0" borderId="0" xfId="7" applyNumberFormat="1" applyFont="1"/>
    <xf numFmtId="0" fontId="21" fillId="0" borderId="0" xfId="7" applyFont="1"/>
    <xf numFmtId="43" fontId="21" fillId="0" borderId="0" xfId="7" applyNumberFormat="1" applyFont="1"/>
    <xf numFmtId="43" fontId="11" fillId="0" borderId="0" xfId="7" applyNumberFormat="1" applyFont="1"/>
    <xf numFmtId="43" fontId="4" fillId="0" borderId="0" xfId="7" applyNumberFormat="1" applyFont="1"/>
    <xf numFmtId="0" fontId="6" fillId="2" borderId="0" xfId="2" applyFont="1" applyFill="1"/>
    <xf numFmtId="0" fontId="6" fillId="2" borderId="2" xfId="2" applyFont="1" applyFill="1" applyBorder="1"/>
    <xf numFmtId="0" fontId="7" fillId="2" borderId="2" xfId="2" applyFont="1" applyFill="1" applyBorder="1" applyAlignment="1">
      <alignment horizontal="center"/>
    </xf>
    <xf numFmtId="14" fontId="6" fillId="2" borderId="2" xfId="2" applyNumberFormat="1" applyFont="1" applyFill="1" applyBorder="1" applyAlignment="1">
      <alignment horizontal="center"/>
    </xf>
    <xf numFmtId="0" fontId="6" fillId="2" borderId="4" xfId="2" applyFont="1" applyFill="1" applyBorder="1" applyAlignment="1">
      <alignment horizontal="centerContinuous"/>
    </xf>
    <xf numFmtId="0" fontId="21" fillId="0" borderId="0" xfId="1" applyFont="1" applyFill="1" applyBorder="1" applyAlignment="1">
      <alignment horizontal="centerContinuous"/>
    </xf>
    <xf numFmtId="165" fontId="39" fillId="0" borderId="0" xfId="0" applyNumberFormat="1" applyFont="1"/>
    <xf numFmtId="41" fontId="11" fillId="0" borderId="0" xfId="2" applyNumberFormat="1" applyFont="1"/>
    <xf numFmtId="41" fontId="9" fillId="0" borderId="0" xfId="2" applyNumberFormat="1" applyFont="1"/>
    <xf numFmtId="41" fontId="11" fillId="0" borderId="2" xfId="2" applyNumberFormat="1" applyFont="1" applyBorder="1"/>
    <xf numFmtId="41" fontId="21" fillId="0" borderId="0" xfId="2" applyNumberFormat="1" applyFont="1"/>
    <xf numFmtId="41" fontId="21" fillId="0" borderId="2" xfId="2" applyNumberFormat="1" applyFont="1" applyBorder="1"/>
    <xf numFmtId="3" fontId="11" fillId="0" borderId="0" xfId="2" applyNumberFormat="1" applyFont="1"/>
    <xf numFmtId="3" fontId="21" fillId="0" borderId="0" xfId="2" applyNumberFormat="1" applyFont="1"/>
    <xf numFmtId="0" fontId="21" fillId="0" borderId="0" xfId="2" applyFont="1"/>
    <xf numFmtId="164" fontId="21" fillId="0" borderId="0" xfId="0" applyNumberFormat="1" applyFont="1"/>
    <xf numFmtId="165" fontId="21" fillId="0" borderId="0" xfId="0" applyNumberFormat="1" applyFont="1"/>
    <xf numFmtId="41" fontId="21" fillId="0" borderId="0" xfId="0" applyNumberFormat="1" applyFont="1"/>
    <xf numFmtId="164" fontId="11" fillId="0" borderId="0" xfId="0" applyNumberFormat="1" applyFont="1" applyAlignment="1">
      <alignment horizontal="center"/>
    </xf>
    <xf numFmtId="181" fontId="21" fillId="0" borderId="0" xfId="0" applyNumberFormat="1" applyFont="1"/>
    <xf numFmtId="0" fontId="3" fillId="0" borderId="0" xfId="0" applyFont="1" applyAlignment="1">
      <alignment horizontal="left" indent="1"/>
    </xf>
    <xf numFmtId="174" fontId="4" fillId="4" borderId="1" xfId="0" applyNumberFormat="1" applyFont="1" applyFill="1" applyBorder="1" applyAlignment="1">
      <alignment horizontal="center"/>
    </xf>
    <xf numFmtId="0" fontId="11" fillId="0" borderId="0" xfId="2" applyFont="1" applyAlignment="1">
      <alignment horizontal="left"/>
    </xf>
    <xf numFmtId="195" fontId="1" fillId="0" borderId="0" xfId="0" applyNumberFormat="1" applyFont="1"/>
    <xf numFmtId="195" fontId="8" fillId="3" borderId="7" xfId="0" applyNumberFormat="1" applyFont="1" applyFill="1" applyBorder="1"/>
    <xf numFmtId="167" fontId="4" fillId="4" borderId="1" xfId="0" applyNumberFormat="1" applyFont="1" applyFill="1" applyBorder="1"/>
    <xf numFmtId="196" fontId="9" fillId="3" borderId="2" xfId="2" applyNumberFormat="1" applyFont="1" applyFill="1" applyBorder="1"/>
    <xf numFmtId="195" fontId="4" fillId="4" borderId="13" xfId="0" applyNumberFormat="1" applyFont="1" applyFill="1" applyBorder="1" applyAlignment="1">
      <alignment horizontal="center"/>
    </xf>
    <xf numFmtId="195" fontId="4" fillId="4" borderId="15" xfId="0" applyNumberFormat="1" applyFont="1" applyFill="1" applyBorder="1" applyAlignment="1">
      <alignment horizontal="center"/>
    </xf>
    <xf numFmtId="195" fontId="9" fillId="3" borderId="16" xfId="2" applyNumberFormat="1" applyFont="1" applyFill="1" applyBorder="1"/>
    <xf numFmtId="167" fontId="9" fillId="6" borderId="18" xfId="2" applyNumberFormat="1" applyFont="1" applyFill="1" applyBorder="1"/>
    <xf numFmtId="0" fontId="30" fillId="2" borderId="0" xfId="3" applyFont="1" applyFill="1" applyAlignment="1">
      <alignment horizontal="left"/>
    </xf>
    <xf numFmtId="0" fontId="30" fillId="2" borderId="0" xfId="2" applyFont="1" applyFill="1"/>
    <xf numFmtId="0" fontId="32" fillId="2" borderId="0" xfId="2" applyFont="1" applyFill="1" applyAlignment="1">
      <alignment horizontal="centerContinuous"/>
    </xf>
    <xf numFmtId="0" fontId="33" fillId="2" borderId="0" xfId="2" applyFont="1" applyFill="1" applyAlignment="1">
      <alignment horizontal="centerContinuous"/>
    </xf>
    <xf numFmtId="0" fontId="34" fillId="2" borderId="0" xfId="2" applyFont="1" applyFill="1"/>
    <xf numFmtId="0" fontId="30" fillId="2" borderId="0" xfId="2" applyFont="1" applyFill="1" applyAlignment="1">
      <alignment horizontal="center"/>
    </xf>
    <xf numFmtId="0" fontId="34" fillId="2" borderId="0" xfId="2" applyFont="1" applyFill="1" applyAlignment="1">
      <alignment horizontal="centerContinuous"/>
    </xf>
    <xf numFmtId="0" fontId="30" fillId="2" borderId="2" xfId="2" applyFont="1" applyFill="1" applyBorder="1"/>
    <xf numFmtId="0" fontId="30" fillId="2" borderId="2" xfId="2" applyFont="1" applyFill="1" applyBorder="1" applyAlignment="1">
      <alignment horizontal="center"/>
    </xf>
    <xf numFmtId="185" fontId="6" fillId="2" borderId="2" xfId="0" applyNumberFormat="1" applyFont="1" applyFill="1" applyBorder="1" applyAlignment="1">
      <alignment horizontal="center"/>
    </xf>
    <xf numFmtId="167" fontId="4" fillId="0" borderId="0" xfId="2" applyNumberFormat="1" applyFont="1"/>
    <xf numFmtId="196" fontId="11" fillId="0" borderId="0" xfId="2" applyNumberFormat="1" applyFont="1" applyAlignment="1">
      <alignment horizontal="center"/>
    </xf>
    <xf numFmtId="196" fontId="4" fillId="0" borderId="0" xfId="2" applyNumberFormat="1" applyFont="1"/>
    <xf numFmtId="196" fontId="11" fillId="0" borderId="0" xfId="2" applyNumberFormat="1" applyFont="1"/>
    <xf numFmtId="195" fontId="11" fillId="0" borderId="0" xfId="2" applyNumberFormat="1" applyFont="1"/>
    <xf numFmtId="195" fontId="4" fillId="0" borderId="0" xfId="2" applyNumberFormat="1" applyFont="1"/>
    <xf numFmtId="41" fontId="4" fillId="0" borderId="0" xfId="2" applyNumberFormat="1" applyFont="1"/>
    <xf numFmtId="167" fontId="6" fillId="7" borderId="3" xfId="2" applyNumberFormat="1" applyFont="1" applyFill="1" applyBorder="1"/>
    <xf numFmtId="165" fontId="6" fillId="7" borderId="3" xfId="2" applyNumberFormat="1" applyFont="1" applyFill="1" applyBorder="1"/>
    <xf numFmtId="167" fontId="11" fillId="0" borderId="7" xfId="2" applyNumberFormat="1" applyFont="1" applyBorder="1"/>
    <xf numFmtId="165" fontId="11" fillId="0" borderId="7" xfId="2" applyNumberFormat="1" applyFont="1" applyBorder="1"/>
    <xf numFmtId="191" fontId="11" fillId="0" borderId="7" xfId="2" applyNumberFormat="1" applyFont="1" applyBorder="1" applyAlignment="1">
      <alignment horizontal="center"/>
    </xf>
    <xf numFmtId="191" fontId="11" fillId="0" borderId="0" xfId="2" applyNumberFormat="1" applyFont="1" applyAlignment="1">
      <alignment horizontal="center"/>
    </xf>
    <xf numFmtId="191" fontId="11" fillId="0" borderId="2" xfId="2" applyNumberFormat="1" applyFont="1" applyBorder="1" applyAlignment="1">
      <alignment horizontal="center"/>
    </xf>
    <xf numFmtId="0" fontId="9" fillId="8" borderId="8" xfId="2" applyFont="1" applyFill="1" applyBorder="1"/>
    <xf numFmtId="0" fontId="9" fillId="8" borderId="3" xfId="2" applyFont="1" applyFill="1" applyBorder="1"/>
    <xf numFmtId="43" fontId="9" fillId="8" borderId="3" xfId="2" applyNumberFormat="1" applyFont="1" applyFill="1" applyBorder="1"/>
    <xf numFmtId="44" fontId="9" fillId="8" borderId="3" xfId="2" applyNumberFormat="1" applyFont="1" applyFill="1" applyBorder="1"/>
    <xf numFmtId="41" fontId="9" fillId="8" borderId="3" xfId="2" applyNumberFormat="1" applyFont="1" applyFill="1" applyBorder="1"/>
    <xf numFmtId="191" fontId="9" fillId="8" borderId="3" xfId="2" applyNumberFormat="1" applyFont="1" applyFill="1" applyBorder="1" applyAlignment="1">
      <alignment horizontal="center"/>
    </xf>
    <xf numFmtId="182" fontId="9" fillId="8" borderId="3" xfId="2" applyNumberFormat="1" applyFont="1" applyFill="1" applyBorder="1"/>
    <xf numFmtId="193" fontId="9" fillId="8" borderId="3" xfId="2" applyNumberFormat="1" applyFont="1" applyFill="1" applyBorder="1"/>
    <xf numFmtId="192" fontId="9" fillId="8" borderId="3" xfId="2" applyNumberFormat="1" applyFont="1" applyFill="1" applyBorder="1"/>
    <xf numFmtId="192" fontId="9" fillId="8" borderId="9" xfId="2" applyNumberFormat="1" applyFont="1" applyFill="1" applyBorder="1"/>
    <xf numFmtId="196" fontId="11" fillId="0" borderId="7" xfId="2" applyNumberFormat="1" applyFont="1" applyBorder="1"/>
    <xf numFmtId="197" fontId="11" fillId="0" borderId="0" xfId="2" applyNumberFormat="1" applyFont="1"/>
    <xf numFmtId="197" fontId="9" fillId="8" borderId="3" xfId="2" applyNumberFormat="1" applyFont="1" applyFill="1" applyBorder="1"/>
    <xf numFmtId="197" fontId="11" fillId="0" borderId="2" xfId="2" applyNumberFormat="1" applyFont="1" applyBorder="1"/>
    <xf numFmtId="178" fontId="9" fillId="8" borderId="3" xfId="2" applyNumberFormat="1" applyFont="1" applyFill="1" applyBorder="1"/>
    <xf numFmtId="178" fontId="9" fillId="8" borderId="9" xfId="2" applyNumberFormat="1" applyFont="1" applyFill="1" applyBorder="1"/>
    <xf numFmtId="196" fontId="31" fillId="0" borderId="0" xfId="0" applyNumberFormat="1" applyFont="1"/>
    <xf numFmtId="195" fontId="31" fillId="0" borderId="0" xfId="0" applyNumberFormat="1" applyFont="1"/>
    <xf numFmtId="0" fontId="25" fillId="2" borderId="2" xfId="0" applyFont="1" applyFill="1" applyBorder="1"/>
    <xf numFmtId="0" fontId="26" fillId="2" borderId="2" xfId="0" applyFont="1" applyFill="1" applyBorder="1"/>
    <xf numFmtId="0" fontId="9" fillId="8" borderId="8" xfId="2" applyFont="1" applyFill="1" applyBorder="1" applyAlignment="1">
      <alignment horizontal="left"/>
    </xf>
    <xf numFmtId="189" fontId="9" fillId="8" borderId="3" xfId="2" applyNumberFormat="1" applyFont="1" applyFill="1" applyBorder="1"/>
    <xf numFmtId="165" fontId="9" fillId="8" borderId="3" xfId="2" applyNumberFormat="1" applyFont="1" applyFill="1" applyBorder="1"/>
    <xf numFmtId="190" fontId="9" fillId="8" borderId="3" xfId="2" applyNumberFormat="1" applyFont="1" applyFill="1" applyBorder="1"/>
    <xf numFmtId="190" fontId="9" fillId="8" borderId="3" xfId="2" applyNumberFormat="1" applyFont="1" applyFill="1" applyBorder="1" applyAlignment="1">
      <alignment horizontal="center"/>
    </xf>
    <xf numFmtId="191" fontId="9" fillId="8" borderId="9" xfId="2" applyNumberFormat="1" applyFont="1" applyFill="1" applyBorder="1" applyAlignment="1">
      <alignment horizontal="center"/>
    </xf>
    <xf numFmtId="0" fontId="9" fillId="8" borderId="3" xfId="2" applyFont="1" applyFill="1" applyBorder="1" applyAlignment="1">
      <alignment horizontal="right"/>
    </xf>
    <xf numFmtId="0" fontId="41" fillId="0" borderId="0" xfId="8" applyFont="1"/>
    <xf numFmtId="0" fontId="9" fillId="0" borderId="0" xfId="2" applyFont="1" applyAlignment="1">
      <alignment horizontal="left"/>
    </xf>
    <xf numFmtId="0" fontId="11" fillId="0" borderId="2" xfId="2" applyFont="1" applyBorder="1" applyAlignment="1">
      <alignment horizontal="left" indent="1"/>
    </xf>
    <xf numFmtId="0" fontId="11" fillId="0" borderId="2" xfId="2" applyFont="1" applyBorder="1"/>
    <xf numFmtId="41" fontId="39" fillId="0" borderId="0" xfId="2" applyNumberFormat="1" applyFont="1"/>
    <xf numFmtId="41" fontId="8" fillId="3" borderId="7" xfId="0" applyNumberFormat="1" applyFont="1" applyFill="1" applyBorder="1"/>
    <xf numFmtId="43" fontId="4" fillId="0" borderId="26" xfId="0" applyNumberFormat="1" applyFont="1" applyBorder="1" applyAlignment="1">
      <alignment horizontal="center"/>
    </xf>
    <xf numFmtId="182" fontId="4" fillId="4" borderId="1" xfId="0" applyNumberFormat="1" applyFont="1" applyFill="1" applyBorder="1"/>
    <xf numFmtId="195" fontId="11" fillId="4" borderId="1" xfId="0" applyNumberFormat="1" applyFont="1" applyFill="1" applyBorder="1"/>
    <xf numFmtId="195" fontId="21" fillId="4" borderId="14" xfId="0" applyNumberFormat="1" applyFont="1" applyFill="1" applyBorder="1" applyAlignment="1">
      <alignment horizontal="center"/>
    </xf>
    <xf numFmtId="195" fontId="21" fillId="4" borderId="13" xfId="0" applyNumberFormat="1" applyFont="1" applyFill="1" applyBorder="1" applyAlignment="1">
      <alignment horizontal="center"/>
    </xf>
    <xf numFmtId="175" fontId="11" fillId="0" borderId="0" xfId="0" applyNumberFormat="1" applyFont="1" applyAlignment="1">
      <alignment horizontal="center"/>
    </xf>
    <xf numFmtId="0" fontId="9" fillId="9" borderId="0" xfId="2" applyFont="1" applyFill="1"/>
    <xf numFmtId="0" fontId="20" fillId="9" borderId="0" xfId="2" applyFont="1" applyFill="1" applyAlignment="1">
      <alignment horizontal="center"/>
    </xf>
    <xf numFmtId="195" fontId="9" fillId="9" borderId="0" xfId="2" applyNumberFormat="1" applyFont="1" applyFill="1"/>
    <xf numFmtId="0" fontId="9" fillId="8" borderId="0" xfId="2" applyFont="1" applyFill="1"/>
    <xf numFmtId="0" fontId="20" fillId="8" borderId="0" xfId="2" applyFont="1" applyFill="1" applyAlignment="1">
      <alignment horizontal="center"/>
    </xf>
    <xf numFmtId="165" fontId="9" fillId="8" borderId="0" xfId="2" applyNumberFormat="1" applyFont="1" applyFill="1"/>
    <xf numFmtId="199" fontId="11" fillId="4" borderId="13" xfId="0" applyNumberFormat="1" applyFont="1" applyFill="1" applyBorder="1" applyAlignment="1">
      <alignment horizontal="center"/>
    </xf>
    <xf numFmtId="0" fontId="41" fillId="0" borderId="0" xfId="0" applyFont="1"/>
    <xf numFmtId="199" fontId="31" fillId="0" borderId="0" xfId="0" applyNumberFormat="1" applyFont="1"/>
    <xf numFmtId="195" fontId="9" fillId="0" borderId="0" xfId="2" applyNumberFormat="1" applyFont="1"/>
    <xf numFmtId="179" fontId="11" fillId="0" borderId="0" xfId="2" applyNumberFormat="1" applyFont="1"/>
    <xf numFmtId="167" fontId="11" fillId="0" borderId="0" xfId="0" applyNumberFormat="1" applyFont="1"/>
    <xf numFmtId="167" fontId="9" fillId="0" borderId="0" xfId="0" applyNumberFormat="1" applyFont="1"/>
    <xf numFmtId="192" fontId="6" fillId="7" borderId="0" xfId="2" applyNumberFormat="1" applyFont="1" applyFill="1"/>
    <xf numFmtId="0" fontId="37" fillId="0" borderId="0" xfId="5"/>
    <xf numFmtId="198" fontId="4" fillId="0" borderId="0" xfId="0" applyNumberFormat="1" applyFont="1"/>
    <xf numFmtId="182" fontId="11" fillId="0" borderId="0" xfId="0" applyNumberFormat="1" applyFont="1"/>
    <xf numFmtId="165" fontId="8" fillId="3" borderId="2" xfId="0" applyNumberFormat="1" applyFont="1" applyFill="1" applyBorder="1"/>
    <xf numFmtId="41" fontId="9" fillId="3" borderId="7" xfId="2" applyNumberFormat="1" applyFont="1" applyFill="1" applyBorder="1"/>
    <xf numFmtId="195" fontId="21" fillId="0" borderId="0" xfId="0" applyNumberFormat="1" applyFont="1"/>
    <xf numFmtId="195" fontId="11" fillId="0" borderId="0" xfId="0" applyNumberFormat="1" applyFont="1"/>
    <xf numFmtId="167" fontId="1" fillId="0" borderId="0" xfId="7" applyNumberFormat="1" applyFont="1"/>
    <xf numFmtId="167" fontId="21" fillId="0" borderId="0" xfId="7" applyNumberFormat="1" applyFont="1"/>
    <xf numFmtId="0" fontId="32" fillId="2" borderId="0" xfId="2" applyFont="1" applyFill="1" applyAlignment="1">
      <alignment horizontal="center"/>
    </xf>
    <xf numFmtId="185" fontId="42" fillId="2" borderId="2" xfId="0" applyNumberFormat="1" applyFont="1" applyFill="1" applyBorder="1" applyAlignment="1">
      <alignment horizontal="center"/>
    </xf>
    <xf numFmtId="0" fontId="1" fillId="0" borderId="0" xfId="9" applyFont="1"/>
    <xf numFmtId="0" fontId="8" fillId="0" borderId="0" xfId="9" applyFont="1"/>
    <xf numFmtId="0" fontId="8" fillId="0" borderId="0" xfId="9" applyFont="1" applyAlignment="1">
      <alignment horizontal="centerContinuous"/>
    </xf>
    <xf numFmtId="0" fontId="1" fillId="0" borderId="0" xfId="9" applyFont="1" applyAlignment="1">
      <alignment horizontal="centerContinuous"/>
    </xf>
    <xf numFmtId="14" fontId="21" fillId="0" borderId="0" xfId="9" applyNumberFormat="1" applyFont="1"/>
    <xf numFmtId="9" fontId="1" fillId="0" borderId="0" xfId="9" applyNumberFormat="1" applyFont="1"/>
    <xf numFmtId="178" fontId="11" fillId="0" borderId="0" xfId="10" applyNumberFormat="1" applyFont="1"/>
    <xf numFmtId="41" fontId="1" fillId="0" borderId="0" xfId="9" applyNumberFormat="1" applyFont="1"/>
    <xf numFmtId="0" fontId="1" fillId="0" borderId="2" xfId="9" applyFont="1" applyBorder="1" applyAlignment="1">
      <alignment horizontal="center"/>
    </xf>
    <xf numFmtId="190" fontId="11" fillId="0" borderId="0" xfId="9" applyNumberFormat="1" applyFont="1" applyAlignment="1">
      <alignment horizontal="center"/>
    </xf>
    <xf numFmtId="178" fontId="11" fillId="0" borderId="0" xfId="10" applyNumberFormat="1" applyFont="1" applyAlignment="1">
      <alignment horizontal="center"/>
    </xf>
    <xf numFmtId="174" fontId="1" fillId="0" borderId="0" xfId="9" applyNumberFormat="1" applyFont="1"/>
    <xf numFmtId="3" fontId="1" fillId="0" borderId="0" xfId="9" applyNumberFormat="1" applyFont="1"/>
    <xf numFmtId="43" fontId="1" fillId="0" borderId="0" xfId="9" applyNumberFormat="1" applyFont="1"/>
    <xf numFmtId="0" fontId="1" fillId="0" borderId="0" xfId="8" applyFont="1"/>
    <xf numFmtId="0" fontId="44" fillId="0" borderId="0" xfId="11" applyFont="1" applyFill="1" applyBorder="1"/>
    <xf numFmtId="185" fontId="9" fillId="10" borderId="2" xfId="8" applyNumberFormat="1" applyFont="1" applyFill="1" applyBorder="1" applyAlignment="1">
      <alignment horizontal="center"/>
    </xf>
    <xf numFmtId="182" fontId="12" fillId="0" borderId="0" xfId="8" applyNumberFormat="1" applyFont="1"/>
    <xf numFmtId="14" fontId="21" fillId="0" borderId="2" xfId="9" applyNumberFormat="1" applyFont="1" applyBorder="1" applyAlignment="1">
      <alignment horizontal="center"/>
    </xf>
    <xf numFmtId="1" fontId="21" fillId="0" borderId="2" xfId="2" applyNumberFormat="1" applyFont="1" applyBorder="1" applyAlignment="1">
      <alignment horizontal="center"/>
    </xf>
    <xf numFmtId="165" fontId="21" fillId="0" borderId="0" xfId="9" applyNumberFormat="1" applyFont="1"/>
    <xf numFmtId="41" fontId="21" fillId="0" borderId="0" xfId="9" applyNumberFormat="1" applyFont="1"/>
    <xf numFmtId="178" fontId="21" fillId="0" borderId="0" xfId="10" applyNumberFormat="1" applyFont="1"/>
    <xf numFmtId="0" fontId="21" fillId="0" borderId="2" xfId="2" applyFont="1" applyBorder="1" applyAlignment="1">
      <alignment horizontal="center"/>
    </xf>
    <xf numFmtId="185" fontId="9" fillId="0" borderId="0" xfId="8" applyNumberFormat="1" applyFont="1" applyAlignment="1">
      <alignment horizontal="center"/>
    </xf>
    <xf numFmtId="3" fontId="4" fillId="0" borderId="0" xfId="2" applyNumberFormat="1" applyFont="1"/>
    <xf numFmtId="165" fontId="4" fillId="0" borderId="0" xfId="9" applyNumberFormat="1" applyFont="1"/>
    <xf numFmtId="164" fontId="4" fillId="4" borderId="12" xfId="0" applyNumberFormat="1" applyFont="1" applyFill="1" applyBorder="1" applyAlignment="1">
      <alignment horizontal="center"/>
    </xf>
    <xf numFmtId="178" fontId="11" fillId="0" borderId="0" xfId="2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1" fillId="2" borderId="17" xfId="2" applyFont="1" applyFill="1" applyBorder="1"/>
    <xf numFmtId="0" fontId="11" fillId="2" borderId="21" xfId="2" applyFont="1" applyFill="1" applyBorder="1"/>
    <xf numFmtId="0" fontId="11" fillId="2" borderId="3" xfId="2" applyFont="1" applyFill="1" applyBorder="1"/>
    <xf numFmtId="0" fontId="6" fillId="2" borderId="3" xfId="2" applyFont="1" applyFill="1" applyBorder="1" applyAlignment="1">
      <alignment horizontal="centerContinuous"/>
    </xf>
    <xf numFmtId="0" fontId="9" fillId="2" borderId="3" xfId="2" applyFont="1" applyFill="1" applyBorder="1" applyAlignment="1">
      <alignment horizontal="centerContinuous"/>
    </xf>
    <xf numFmtId="0" fontId="9" fillId="2" borderId="9" xfId="2" applyFont="1" applyFill="1" applyBorder="1" applyAlignment="1">
      <alignment horizontal="centerContinuous"/>
    </xf>
    <xf numFmtId="0" fontId="30" fillId="2" borderId="2" xfId="9" applyFont="1" applyFill="1" applyBorder="1" applyAlignment="1">
      <alignment horizontal="left"/>
    </xf>
    <xf numFmtId="0" fontId="6" fillId="2" borderId="27" xfId="0" applyFont="1" applyFill="1" applyBorder="1" applyAlignment="1">
      <alignment horizontal="centerContinuous"/>
    </xf>
    <xf numFmtId="0" fontId="6" fillId="2" borderId="0" xfId="0" applyFont="1" applyFill="1" applyAlignment="1">
      <alignment horizontal="centerContinuous"/>
    </xf>
    <xf numFmtId="0" fontId="0" fillId="3" borderId="2" xfId="0" applyFill="1" applyBorder="1"/>
    <xf numFmtId="0" fontId="6" fillId="2" borderId="28" xfId="0" applyFont="1" applyFill="1" applyBorder="1" applyAlignment="1">
      <alignment horizontal="centerContinuous"/>
    </xf>
    <xf numFmtId="0" fontId="6" fillId="2" borderId="29" xfId="0" applyFont="1" applyFill="1" applyBorder="1" applyAlignment="1">
      <alignment horizontal="centerContinuous"/>
    </xf>
    <xf numFmtId="0" fontId="5" fillId="2" borderId="30" xfId="0" applyFont="1" applyFill="1" applyBorder="1" applyAlignment="1">
      <alignment horizontal="centerContinuous"/>
    </xf>
    <xf numFmtId="0" fontId="47" fillId="11" borderId="32" xfId="0" applyFont="1" applyFill="1" applyBorder="1" applyAlignment="1">
      <alignment horizontal="centerContinuous"/>
    </xf>
    <xf numFmtId="0" fontId="6" fillId="2" borderId="5" xfId="0" applyFont="1" applyFill="1" applyBorder="1" applyAlignment="1">
      <alignment horizontal="centerContinuous"/>
    </xf>
    <xf numFmtId="0" fontId="6" fillId="2" borderId="33" xfId="0" applyFont="1" applyFill="1" applyBorder="1" applyAlignment="1">
      <alignment horizontal="centerContinuous"/>
    </xf>
    <xf numFmtId="0" fontId="6" fillId="2" borderId="34" xfId="0" applyFont="1" applyFill="1" applyBorder="1" applyAlignment="1">
      <alignment horizontal="centerContinuous"/>
    </xf>
    <xf numFmtId="170" fontId="6" fillId="2" borderId="35" xfId="0" applyNumberFormat="1" applyFont="1" applyFill="1" applyBorder="1" applyAlignment="1">
      <alignment horizontal="center"/>
    </xf>
    <xf numFmtId="166" fontId="6" fillId="2" borderId="36" xfId="0" applyNumberFormat="1" applyFont="1" applyFill="1" applyBorder="1" applyAlignment="1">
      <alignment horizontal="center"/>
    </xf>
    <xf numFmtId="168" fontId="6" fillId="2" borderId="35" xfId="0" applyNumberFormat="1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Continuous"/>
    </xf>
    <xf numFmtId="0" fontId="5" fillId="2" borderId="0" xfId="0" applyFont="1" applyFill="1" applyAlignment="1">
      <alignment horizontal="centerContinuous"/>
    </xf>
    <xf numFmtId="0" fontId="0" fillId="3" borderId="39" xfId="0" applyFill="1" applyBorder="1"/>
    <xf numFmtId="170" fontId="6" fillId="2" borderId="38" xfId="0" applyNumberFormat="1" applyFont="1" applyFill="1" applyBorder="1" applyAlignment="1">
      <alignment horizontal="center"/>
    </xf>
    <xf numFmtId="168" fontId="8" fillId="3" borderId="40" xfId="0" applyNumberFormat="1" applyFont="1" applyFill="1" applyBorder="1" applyAlignment="1">
      <alignment horizontal="center"/>
    </xf>
    <xf numFmtId="168" fontId="6" fillId="2" borderId="39" xfId="0" applyNumberFormat="1" applyFont="1" applyFill="1" applyBorder="1" applyAlignment="1">
      <alignment horizontal="center"/>
    </xf>
    <xf numFmtId="170" fontId="6" fillId="2" borderId="36" xfId="0" applyNumberFormat="1" applyFont="1" applyFill="1" applyBorder="1" applyAlignment="1">
      <alignment horizontal="center"/>
    </xf>
    <xf numFmtId="170" fontId="6" fillId="2" borderId="6" xfId="0" applyNumberFormat="1" applyFont="1" applyFill="1" applyBorder="1" applyAlignment="1">
      <alignment horizontal="center"/>
    </xf>
    <xf numFmtId="0" fontId="5" fillId="2" borderId="4" xfId="0" applyFont="1" applyFill="1" applyBorder="1"/>
    <xf numFmtId="182" fontId="1" fillId="0" borderId="7" xfId="0" applyNumberFormat="1" applyFont="1" applyBorder="1"/>
    <xf numFmtId="0" fontId="6" fillId="2" borderId="41" xfId="2" applyFont="1" applyFill="1" applyBorder="1" applyAlignment="1">
      <alignment horizontal="centerContinuous"/>
    </xf>
    <xf numFmtId="0" fontId="47" fillId="11" borderId="42" xfId="0" applyFont="1" applyFill="1" applyBorder="1" applyAlignment="1">
      <alignment horizontal="centerContinuous"/>
    </xf>
    <xf numFmtId="0" fontId="6" fillId="2" borderId="43" xfId="2" applyFont="1" applyFill="1" applyBorder="1" applyAlignment="1">
      <alignment horizontal="centerContinuous"/>
    </xf>
    <xf numFmtId="17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/>
    <xf numFmtId="164" fontId="1" fillId="0" borderId="0" xfId="0" applyNumberFormat="1" applyFont="1"/>
    <xf numFmtId="167" fontId="1" fillId="0" borderId="0" xfId="0" applyNumberFormat="1" applyFont="1"/>
    <xf numFmtId="0" fontId="1" fillId="3" borderId="3" xfId="0" applyFont="1" applyFill="1" applyBorder="1"/>
    <xf numFmtId="0" fontId="1" fillId="0" borderId="7" xfId="0" applyFont="1" applyBorder="1"/>
    <xf numFmtId="0" fontId="1" fillId="0" borderId="4" xfId="0" applyFont="1" applyBorder="1"/>
    <xf numFmtId="165" fontId="1" fillId="0" borderId="0" xfId="0" applyNumberFormat="1" applyFont="1"/>
    <xf numFmtId="171" fontId="1" fillId="0" borderId="0" xfId="0" applyNumberFormat="1" applyFont="1"/>
    <xf numFmtId="169" fontId="1" fillId="0" borderId="0" xfId="0" applyNumberFormat="1" applyFont="1"/>
    <xf numFmtId="169" fontId="1" fillId="0" borderId="4" xfId="0" applyNumberFormat="1" applyFont="1" applyBorder="1"/>
    <xf numFmtId="0" fontId="1" fillId="0" borderId="31" xfId="0" applyFont="1" applyBorder="1"/>
    <xf numFmtId="173" fontId="1" fillId="0" borderId="0" xfId="0" applyNumberFormat="1" applyFont="1"/>
    <xf numFmtId="0" fontId="7" fillId="2" borderId="2" xfId="2" applyFont="1" applyFill="1" applyBorder="1"/>
    <xf numFmtId="0" fontId="20" fillId="0" borderId="0" xfId="2" applyFont="1"/>
    <xf numFmtId="0" fontId="6" fillId="2" borderId="4" xfId="2" applyFont="1" applyFill="1" applyBorder="1"/>
    <xf numFmtId="170" fontId="6" fillId="2" borderId="2" xfId="0" applyNumberFormat="1" applyFont="1" applyFill="1" applyBorder="1"/>
    <xf numFmtId="0" fontId="9" fillId="2" borderId="3" xfId="2" applyFont="1" applyFill="1" applyBorder="1"/>
    <xf numFmtId="186" fontId="11" fillId="3" borderId="3" xfId="2" applyNumberFormat="1" applyFont="1" applyFill="1" applyBorder="1"/>
    <xf numFmtId="43" fontId="20" fillId="0" borderId="0" xfId="2" applyNumberFormat="1" applyFont="1"/>
    <xf numFmtId="200" fontId="20" fillId="0" borderId="0" xfId="2" applyNumberFormat="1" applyFont="1"/>
    <xf numFmtId="201" fontId="4" fillId="4" borderId="13" xfId="12" applyNumberFormat="1" applyFont="1" applyFill="1" applyBorder="1"/>
    <xf numFmtId="200" fontId="11" fillId="0" borderId="0" xfId="2" applyNumberFormat="1" applyFont="1"/>
    <xf numFmtId="195" fontId="11" fillId="0" borderId="0" xfId="0" applyNumberFormat="1" applyFont="1" applyAlignment="1">
      <alignment horizontal="left"/>
    </xf>
    <xf numFmtId="0" fontId="6" fillId="2" borderId="21" xfId="2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1" xfId="0" applyFill="1" applyBorder="1"/>
    <xf numFmtId="0" fontId="0" fillId="2" borderId="23" xfId="0" applyFill="1" applyBorder="1"/>
  </cellXfs>
  <cellStyles count="13">
    <cellStyle name="Comma" xfId="12" builtinId="3"/>
    <cellStyle name="Hyperlink" xfId="5" builtinId="8"/>
    <cellStyle name="Hyperlink 2" xfId="11" xr:uid="{8E52EA44-CD8A-420D-82BB-6193ED2AFFD6}"/>
    <cellStyle name="Normal" xfId="0" builtinId="0"/>
    <cellStyle name="Normal 2" xfId="2" xr:uid="{739D8EE3-4705-4AFB-8618-633BC83AE58C}"/>
    <cellStyle name="Normal 2 2 2" xfId="10" xr:uid="{040BE4A3-5BF8-472C-8696-7B116FC4F511}"/>
    <cellStyle name="Normal 3" xfId="8" xr:uid="{C120E0FD-B920-4BC2-8F77-3C07B1AA9E40}"/>
    <cellStyle name="Normal 3 2" xfId="3" xr:uid="{D41F0FDC-DF1E-4E75-9879-BEADF80C7F67}"/>
    <cellStyle name="Normal 3 2 2 2" xfId="9" xr:uid="{408F621D-6C1C-45FC-AF9A-89255016DFC9}"/>
    <cellStyle name="Normal 3 4" xfId="7" xr:uid="{0BB18843-D4F7-4F5B-B5A9-0DC3E848CD7D}"/>
    <cellStyle name="Normal 5 2" xfId="6" xr:uid="{2EAD5613-1D97-4FBB-ABF8-300D5216F6E1}"/>
    <cellStyle name="Note" xfId="1" builtinId="10"/>
    <cellStyle name="TextNormal" xfId="4" xr:uid="{4741EB9D-2281-4AC8-9A2C-959DC8290244}"/>
  </cellStyles>
  <dxfs count="0"/>
  <tableStyles count="0" defaultTableStyle="TableStyleMedium2" defaultPivotStyle="PivotStyleLight16"/>
  <colors>
    <mruColors>
      <color rgb="FF203764"/>
      <color rgb="FF0000FF"/>
      <color rgb="FFC0504D"/>
      <color rgb="FFFF0000"/>
      <color rgb="FF4472C4"/>
      <color rgb="FFA5A5A5"/>
      <color rgb="FF8DB4E2"/>
      <color rgb="FF538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(Debt + Leases) / EBITDAR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EZJ!$C$243</c:f>
              <c:strCache>
                <c:ptCount val="1"/>
                <c:pt idx="0">
                  <c:v>Maximum (Total Debt + Lease Liabilities) / EBITDAR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EZJ!$Z$225:$AA$225</c:f>
              <c:numCache>
                <c:formatCode>"FY"\ yy</c:formatCode>
                <c:ptCount val="2"/>
                <c:pt idx="0">
                  <c:v>45930</c:v>
                </c:pt>
                <c:pt idx="1">
                  <c:v>46295</c:v>
                </c:pt>
              </c:numCache>
            </c:numRef>
          </c:cat>
          <c:val>
            <c:numRef>
              <c:f>EZJ!$Z$243:$AA$243</c:f>
              <c:numCache>
                <c:formatCode>0.0\ \x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0-4667-B60F-C5EE97E64201}"/>
            </c:ext>
          </c:extLst>
        </c:ser>
        <c:ser>
          <c:idx val="1"/>
          <c:order val="1"/>
          <c:tx>
            <c:strRef>
              <c:f>EZJ!$C$244</c:f>
              <c:strCache>
                <c:ptCount val="1"/>
                <c:pt idx="0">
                  <c:v>(Total Debt + Lease Liabilities) / EBITDAR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EZJ!$Z$225:$AA$225</c:f>
              <c:numCache>
                <c:formatCode>"FY"\ yy</c:formatCode>
                <c:ptCount val="2"/>
                <c:pt idx="0">
                  <c:v>45930</c:v>
                </c:pt>
                <c:pt idx="1">
                  <c:v>46295</c:v>
                </c:pt>
              </c:numCache>
            </c:numRef>
          </c:cat>
          <c:val>
            <c:numRef>
              <c:f>EZJ!$Z$244:$AA$244</c:f>
              <c:numCache>
                <c:formatCode>0.0\ \x;\(0.0\ \x\)</c:formatCode>
                <c:ptCount val="2"/>
                <c:pt idx="0">
                  <c:v>2.8042833984638174</c:v>
                </c:pt>
                <c:pt idx="1">
                  <c:v>2.6444816828565245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70-4667-B60F-C5EE97E64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128552"/>
        <c:axId val="86127272"/>
      </c:barChart>
      <c:dateAx>
        <c:axId val="86128552"/>
        <c:scaling>
          <c:orientation val="minMax"/>
        </c:scaling>
        <c:delete val="0"/>
        <c:axPos val="b"/>
        <c:numFmt formatCode="&quot;FY&quot;\ 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27272"/>
        <c:crosses val="autoZero"/>
        <c:auto val="1"/>
        <c:lblOffset val="100"/>
        <c:baseTimeUnit val="years"/>
      </c:dateAx>
      <c:valAx>
        <c:axId val="86127272"/>
        <c:scaling>
          <c:orientation val="minMax"/>
          <c:max val="1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\x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28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(Debt + Leases) / Total 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EZJ!$C$250</c:f>
              <c:strCache>
                <c:ptCount val="1"/>
                <c:pt idx="0">
                  <c:v>Maximum (Total Debt + Lease Liabilities) / Total Capital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EZJ!$Z$225:$AA$225</c:f>
              <c:numCache>
                <c:formatCode>"FY"\ yy</c:formatCode>
                <c:ptCount val="2"/>
                <c:pt idx="0">
                  <c:v>45930</c:v>
                </c:pt>
                <c:pt idx="1">
                  <c:v>46295</c:v>
                </c:pt>
              </c:numCache>
            </c:numRef>
          </c:cat>
          <c:val>
            <c:numRef>
              <c:f>EZJ!$Z$250:$AA$250</c:f>
              <c:numCache>
                <c:formatCode>0.0%;\(0.0%\)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1-4872-BAAA-58655E6C5DF8}"/>
            </c:ext>
          </c:extLst>
        </c:ser>
        <c:ser>
          <c:idx val="0"/>
          <c:order val="1"/>
          <c:tx>
            <c:strRef>
              <c:f>EZJ!$C$251</c:f>
              <c:strCache>
                <c:ptCount val="1"/>
                <c:pt idx="0">
                  <c:v>(Total Debt + Lease Liabilities) / Total Capital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EZJ!$Z$225:$AA$225</c:f>
              <c:numCache>
                <c:formatCode>"FY"\ yy</c:formatCode>
                <c:ptCount val="2"/>
                <c:pt idx="0">
                  <c:v>45930</c:v>
                </c:pt>
                <c:pt idx="1">
                  <c:v>46295</c:v>
                </c:pt>
              </c:numCache>
            </c:numRef>
          </c:cat>
          <c:val>
            <c:numRef>
              <c:f>EZJ!$Z$251:$AA$251</c:f>
              <c:numCache>
                <c:formatCode>0.0%;\(0.0%\)</c:formatCode>
                <c:ptCount val="2"/>
                <c:pt idx="0">
                  <c:v>0.49552248239596325</c:v>
                </c:pt>
                <c:pt idx="1">
                  <c:v>0.50705630500568977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1-4872-BAAA-58655E6C5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128552"/>
        <c:axId val="86127272"/>
      </c:barChart>
      <c:dateAx>
        <c:axId val="86128552"/>
        <c:scaling>
          <c:orientation val="minMax"/>
        </c:scaling>
        <c:delete val="0"/>
        <c:axPos val="b"/>
        <c:numFmt formatCode="&quot;FY&quot;\ 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27272"/>
        <c:crosses val="autoZero"/>
        <c:auto val="1"/>
        <c:lblOffset val="100"/>
        <c:baseTimeUnit val="years"/>
      </c:dateAx>
      <c:valAx>
        <c:axId val="861272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28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strRef>
          <c:f>Graphs!$P$4</c:f>
          <c:strCache>
            <c:ptCount val="1"/>
            <c:pt idx="0">
              <c:v>Annual Revenue, CY 23 - CY 24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Graphs!$Q$4</c:f>
              <c:strCache>
                <c:ptCount val="1"/>
                <c:pt idx="0">
                  <c:v>CY 23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Graphs!$P$32:$P$39</c:f>
              <c:strCache>
                <c:ptCount val="8"/>
                <c:pt idx="0">
                  <c:v>ISE:RYA</c:v>
                </c:pt>
                <c:pt idx="1">
                  <c:v>LSE:EZJ</c:v>
                </c:pt>
                <c:pt idx="2">
                  <c:v>AIM:JET2</c:v>
                </c:pt>
                <c:pt idx="3">
                  <c:v>LSE:WIZZ</c:v>
                </c:pt>
                <c:pt idx="4">
                  <c:v>IBSE:PGSUS</c:v>
                </c:pt>
                <c:pt idx="5">
                  <c:v>OB:NAS</c:v>
                </c:pt>
                <c:pt idx="6">
                  <c:v>DFM:AIRARABIA</c:v>
                </c:pt>
                <c:pt idx="7">
                  <c:v>KWSE:JAZEERA</c:v>
                </c:pt>
              </c:strCache>
            </c:strRef>
          </c:cat>
          <c:val>
            <c:numRef>
              <c:f>Graphs!$Q$32:$Q$39</c:f>
              <c:numCache>
                <c:formatCode>_(* #,##0_);_(* \(#,##0\);_(* "-"_);_(@_)</c:formatCode>
                <c:ptCount val="8"/>
                <c:pt idx="0" formatCode="_-[$£-809]* #,##0_-;\-[$£-809]* #,##0_-;_-[$£-809]* &quot;-&quot;_-;_-@_-">
                  <c:v>10051.66</c:v>
                </c:pt>
                <c:pt idx="1">
                  <c:v>6310.6334990999985</c:v>
                </c:pt>
                <c:pt idx="2">
                  <c:v>5088.5174999999999</c:v>
                </c:pt>
                <c:pt idx="3">
                  <c:v>4282.335</c:v>
                </c:pt>
                <c:pt idx="4">
                  <c:v>2412.2199999999998</c:v>
                </c:pt>
                <c:pt idx="5">
                  <c:v>2070.58</c:v>
                </c:pt>
                <c:pt idx="6">
                  <c:v>1214.0999999999999</c:v>
                </c:pt>
                <c:pt idx="7">
                  <c:v>484.55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7-4364-927A-0AF73E1166C6}"/>
            </c:ext>
          </c:extLst>
        </c:ser>
        <c:ser>
          <c:idx val="1"/>
          <c:order val="1"/>
          <c:tx>
            <c:strRef>
              <c:f>Graphs!$R$4</c:f>
              <c:strCache>
                <c:ptCount val="1"/>
                <c:pt idx="0">
                  <c:v>CY 24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numFmt formatCode="\£0,\ \B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Graphs!$P$32:$P$39</c:f>
              <c:strCache>
                <c:ptCount val="8"/>
                <c:pt idx="0">
                  <c:v>ISE:RYA</c:v>
                </c:pt>
                <c:pt idx="1">
                  <c:v>LSE:EZJ</c:v>
                </c:pt>
                <c:pt idx="2">
                  <c:v>AIM:JET2</c:v>
                </c:pt>
                <c:pt idx="3">
                  <c:v>LSE:WIZZ</c:v>
                </c:pt>
                <c:pt idx="4">
                  <c:v>IBSE:PGSUS</c:v>
                </c:pt>
                <c:pt idx="5">
                  <c:v>OB:NAS</c:v>
                </c:pt>
                <c:pt idx="6">
                  <c:v>DFM:AIRARABIA</c:v>
                </c:pt>
                <c:pt idx="7">
                  <c:v>KWSE:JAZEERA</c:v>
                </c:pt>
              </c:strCache>
            </c:strRef>
          </c:cat>
          <c:val>
            <c:numRef>
              <c:f>Graphs!$R$32:$R$39</c:f>
              <c:numCache>
                <c:formatCode>_(* #,##0_);_(* \(#,##0\);_(* "-"_);_(@_)</c:formatCode>
                <c:ptCount val="8"/>
                <c:pt idx="0" formatCode="_-[$£-809]* #,##0_-;\-[$£-809]* #,##0_-;_-[$£-809]* &quot;-&quot;_-;_-@_-">
                  <c:v>11420.625</c:v>
                </c:pt>
                <c:pt idx="1">
                  <c:v>6940.9992371999979</c:v>
                </c:pt>
                <c:pt idx="2">
                  <c:v>5518.4125000000004</c:v>
                </c:pt>
                <c:pt idx="3">
                  <c:v>5352.8649999999998</c:v>
                </c:pt>
                <c:pt idx="4">
                  <c:v>2915.87</c:v>
                </c:pt>
                <c:pt idx="5">
                  <c:v>2295.52</c:v>
                </c:pt>
                <c:pt idx="6">
                  <c:v>1259.29</c:v>
                </c:pt>
                <c:pt idx="7">
                  <c:v>538.03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27-4364-927A-0AF73E116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346784"/>
        <c:axId val="857347440"/>
      </c:barChart>
      <c:catAx>
        <c:axId val="85734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47440"/>
        <c:crosses val="autoZero"/>
        <c:auto val="1"/>
        <c:lblAlgn val="ctr"/>
        <c:lblOffset val="100"/>
        <c:noMultiLvlLbl val="0"/>
      </c:catAx>
      <c:valAx>
        <c:axId val="8573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£0,\ \B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4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strRef>
          <c:f>Graphs!$P$5</c:f>
          <c:strCache>
            <c:ptCount val="1"/>
            <c:pt idx="0">
              <c:v>Annual EBITDA, CY 23 - CY 24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Graphs!$Q$5</c:f>
              <c:strCache>
                <c:ptCount val="1"/>
                <c:pt idx="0">
                  <c:v>CY 23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Graphs!$P$32:$P$39</c:f>
              <c:strCache>
                <c:ptCount val="8"/>
                <c:pt idx="0">
                  <c:v>ISE:RYA</c:v>
                </c:pt>
                <c:pt idx="1">
                  <c:v>LSE:EZJ</c:v>
                </c:pt>
                <c:pt idx="2">
                  <c:v>AIM:JET2</c:v>
                </c:pt>
                <c:pt idx="3">
                  <c:v>LSE:WIZZ</c:v>
                </c:pt>
                <c:pt idx="4">
                  <c:v>IBSE:PGSUS</c:v>
                </c:pt>
                <c:pt idx="5">
                  <c:v>OB:NAS</c:v>
                </c:pt>
                <c:pt idx="6">
                  <c:v>DFM:AIRARABIA</c:v>
                </c:pt>
                <c:pt idx="7">
                  <c:v>KWSE:JAZEERA</c:v>
                </c:pt>
              </c:strCache>
            </c:strRef>
          </c:cat>
          <c:val>
            <c:numRef>
              <c:f>Graphs!$T$32:$T$39</c:f>
              <c:numCache>
                <c:formatCode>_(* #,##0_);_(* \(#,##0\);_(* "-"_);_(@_)</c:formatCode>
                <c:ptCount val="8"/>
                <c:pt idx="0" formatCode="_-[$£-809]* #,##0_-;\-[$£-809]* #,##0_-;_-[$£-809]* &quot;-&quot;_-;_-@_-">
                  <c:v>2036.42</c:v>
                </c:pt>
                <c:pt idx="1">
                  <c:v>715.08269909999899</c:v>
                </c:pt>
                <c:pt idx="2">
                  <c:v>552.47749999999996</c:v>
                </c:pt>
                <c:pt idx="3">
                  <c:v>731.73500000000001</c:v>
                </c:pt>
                <c:pt idx="4">
                  <c:v>755.68</c:v>
                </c:pt>
                <c:pt idx="5">
                  <c:v>282.04000000000002</c:v>
                </c:pt>
                <c:pt idx="6">
                  <c:v>366.08</c:v>
                </c:pt>
                <c:pt idx="7">
                  <c:v>144.55000000000001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9-4CFA-AEEA-B13F681F4830}"/>
            </c:ext>
          </c:extLst>
        </c:ser>
        <c:ser>
          <c:idx val="1"/>
          <c:order val="1"/>
          <c:tx>
            <c:strRef>
              <c:f>Graphs!$R$5</c:f>
              <c:strCache>
                <c:ptCount val="1"/>
                <c:pt idx="0">
                  <c:v>CY 24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numFmt formatCode="\£0,\ \B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Graphs!$P$32:$P$39</c:f>
              <c:strCache>
                <c:ptCount val="8"/>
                <c:pt idx="0">
                  <c:v>ISE:RYA</c:v>
                </c:pt>
                <c:pt idx="1">
                  <c:v>LSE:EZJ</c:v>
                </c:pt>
                <c:pt idx="2">
                  <c:v>AIM:JET2</c:v>
                </c:pt>
                <c:pt idx="3">
                  <c:v>LSE:WIZZ</c:v>
                </c:pt>
                <c:pt idx="4">
                  <c:v>IBSE:PGSUS</c:v>
                </c:pt>
                <c:pt idx="5">
                  <c:v>OB:NAS</c:v>
                </c:pt>
                <c:pt idx="6">
                  <c:v>DFM:AIRARABIA</c:v>
                </c:pt>
                <c:pt idx="7">
                  <c:v>KWSE:JAZEERA</c:v>
                </c:pt>
              </c:strCache>
            </c:strRef>
          </c:cat>
          <c:val>
            <c:numRef>
              <c:f>Graphs!$U$32:$U$39</c:f>
              <c:numCache>
                <c:formatCode>_(* #,##0_);_(* \(#,##0\);_(* "-"_);_(@_)</c:formatCode>
                <c:ptCount val="8"/>
                <c:pt idx="0" formatCode="_-[$£-809]* #,##0_-;\-[$£-809]* #,##0_-;_-[$£-809]* &quot;-&quot;_-;_-@_-">
                  <c:v>2520.7649999999999</c:v>
                </c:pt>
                <c:pt idx="1">
                  <c:v>853.71558719999894</c:v>
                </c:pt>
                <c:pt idx="2">
                  <c:v>612.49499999999989</c:v>
                </c:pt>
                <c:pt idx="3">
                  <c:v>1154.165</c:v>
                </c:pt>
                <c:pt idx="4">
                  <c:v>1038.98</c:v>
                </c:pt>
                <c:pt idx="5">
                  <c:v>416.77</c:v>
                </c:pt>
                <c:pt idx="6">
                  <c:v>380.18</c:v>
                </c:pt>
                <c:pt idx="7">
                  <c:v>181.01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39-4CFA-AEEA-B13F681F4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346784"/>
        <c:axId val="857347440"/>
      </c:barChart>
      <c:catAx>
        <c:axId val="85734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47440"/>
        <c:crosses val="autoZero"/>
        <c:auto val="1"/>
        <c:lblAlgn val="ctr"/>
        <c:lblOffset val="100"/>
        <c:noMultiLvlLbl val="0"/>
      </c:catAx>
      <c:valAx>
        <c:axId val="8573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£0,\ \B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4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Graphs!$P$19</c:f>
          <c:strCache>
            <c:ptCount val="1"/>
            <c:pt idx="0">
              <c:v>2-Year Revenue CAGR, CY 22 - CY 24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;\(0.0%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Graphs!$P$44:$P$51</c:f>
              <c:strCache>
                <c:ptCount val="8"/>
                <c:pt idx="0">
                  <c:v>LSE:WIZZ</c:v>
                </c:pt>
                <c:pt idx="1">
                  <c:v>IBSE:PGSUS</c:v>
                </c:pt>
                <c:pt idx="2">
                  <c:v>LSE:EZJ</c:v>
                </c:pt>
                <c:pt idx="3">
                  <c:v>ISE:RYA</c:v>
                </c:pt>
                <c:pt idx="4">
                  <c:v>OB:NAS</c:v>
                </c:pt>
                <c:pt idx="5">
                  <c:v>AIM:JET2</c:v>
                </c:pt>
                <c:pt idx="6">
                  <c:v>KWSE:JAZEERA</c:v>
                </c:pt>
                <c:pt idx="7">
                  <c:v>DFM:AIRARABIA</c:v>
                </c:pt>
              </c:strCache>
            </c:strRef>
          </c:cat>
          <c:val>
            <c:numRef>
              <c:f>Graphs!$Q$44:$Q$51</c:f>
              <c:numCache>
                <c:formatCode>_(0.0%_);\(0.0%\);_("–"_)_%;_(@_)_%</c:formatCode>
                <c:ptCount val="8"/>
                <c:pt idx="0">
                  <c:v>0.35609389147149018</c:v>
                </c:pt>
                <c:pt idx="1">
                  <c:v>0.33824060967866387</c:v>
                </c:pt>
                <c:pt idx="2">
                  <c:v>0.2366495354946756</c:v>
                </c:pt>
                <c:pt idx="3">
                  <c:v>0.22872901557019754</c:v>
                </c:pt>
                <c:pt idx="4">
                  <c:v>0.21358171663380165</c:v>
                </c:pt>
                <c:pt idx="5">
                  <c:v>0.19873317658385248</c:v>
                </c:pt>
                <c:pt idx="6">
                  <c:v>0.15806679420294456</c:v>
                </c:pt>
                <c:pt idx="7">
                  <c:v>7.1996249786071553E-2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3-4200-AD1A-955BCBDD5882}"/>
            </c:ext>
          </c:extLst>
        </c:ser>
        <c:ser>
          <c:idx val="1"/>
          <c:order val="1"/>
          <c:spPr>
            <a:solidFill>
              <a:srgbClr val="C0504D"/>
            </a:solidFill>
            <a:ln>
              <a:noFill/>
            </a:ln>
            <a:effectLst/>
          </c:spPr>
          <c:invertIfNegative val="0"/>
          <c:cat>
            <c:strRef>
              <c:f>Graphs!$P$44:$P$51</c:f>
              <c:strCache>
                <c:ptCount val="8"/>
                <c:pt idx="0">
                  <c:v>LSE:WIZZ</c:v>
                </c:pt>
                <c:pt idx="1">
                  <c:v>IBSE:PGSUS</c:v>
                </c:pt>
                <c:pt idx="2">
                  <c:v>LSE:EZJ</c:v>
                </c:pt>
                <c:pt idx="3">
                  <c:v>ISE:RYA</c:v>
                </c:pt>
                <c:pt idx="4">
                  <c:v>OB:NAS</c:v>
                </c:pt>
                <c:pt idx="5">
                  <c:v>AIM:JET2</c:v>
                </c:pt>
                <c:pt idx="6">
                  <c:v>KWSE:JAZEERA</c:v>
                </c:pt>
                <c:pt idx="7">
                  <c:v>DFM:AIRARABIA</c:v>
                </c:pt>
              </c:strCache>
            </c:strRef>
          </c:cat>
          <c:val>
            <c:numRef>
              <c:f>Graphs!$R$44:$R$51</c:f>
              <c:numCache>
                <c:formatCode>_(0.0%_);\(0.0%\);_("–"_)_%;_(@_)_%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0.2366495354946756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C3-4200-AD1A-955BCBDD5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34527320"/>
        <c:axId val="1034533552"/>
      </c:barChart>
      <c:catAx>
        <c:axId val="1034527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533552"/>
        <c:crosses val="autoZero"/>
        <c:auto val="1"/>
        <c:lblAlgn val="ctr"/>
        <c:lblOffset val="100"/>
        <c:noMultiLvlLbl val="0"/>
      </c:catAx>
      <c:valAx>
        <c:axId val="103453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\(0.0%\)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527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Graphs!$P$22</c:f>
          <c:strCache>
            <c:ptCount val="1"/>
            <c:pt idx="0">
              <c:v>CY 24 Revenue Multiples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Graphs!$P$44:$P$51</c:f>
              <c:strCache>
                <c:ptCount val="8"/>
                <c:pt idx="0">
                  <c:v>LSE:WIZZ</c:v>
                </c:pt>
                <c:pt idx="1">
                  <c:v>IBSE:PGSUS</c:v>
                </c:pt>
                <c:pt idx="2">
                  <c:v>LSE:EZJ</c:v>
                </c:pt>
                <c:pt idx="3">
                  <c:v>ISE:RYA</c:v>
                </c:pt>
                <c:pt idx="4">
                  <c:v>OB:NAS</c:v>
                </c:pt>
                <c:pt idx="5">
                  <c:v>AIM:JET2</c:v>
                </c:pt>
                <c:pt idx="6">
                  <c:v>KWSE:JAZEERA</c:v>
                </c:pt>
                <c:pt idx="7">
                  <c:v>DFM:AIRARABIA</c:v>
                </c:pt>
              </c:strCache>
            </c:strRef>
          </c:cat>
          <c:val>
            <c:numRef>
              <c:f>Graphs!$W$44:$W$51</c:f>
              <c:numCache>
                <c:formatCode>0.0\ \x</c:formatCode>
                <c:ptCount val="8"/>
                <c:pt idx="0">
                  <c:v>0.92991771696091707</c:v>
                </c:pt>
                <c:pt idx="1">
                  <c:v>0.93470799452650499</c:v>
                </c:pt>
                <c:pt idx="2">
                  <c:v>0.49360134219876733</c:v>
                </c:pt>
                <c:pt idx="3">
                  <c:v>1.1641856728506541</c:v>
                </c:pt>
                <c:pt idx="4">
                  <c:v>0.44281905624869305</c:v>
                </c:pt>
                <c:pt idx="5">
                  <c:v>0.26128807877265425</c:v>
                </c:pt>
                <c:pt idx="6">
                  <c:v>2.8613646079214909</c:v>
                </c:pt>
                <c:pt idx="7">
                  <c:v>1.7083840894472284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E-4311-8565-386DFC5D9A13}"/>
            </c:ext>
          </c:extLst>
        </c:ser>
        <c:ser>
          <c:idx val="1"/>
          <c:order val="1"/>
          <c:spPr>
            <a:solidFill>
              <a:srgbClr val="C0504D"/>
            </a:solidFill>
            <a:ln>
              <a:noFill/>
            </a:ln>
            <a:effectLst/>
          </c:spPr>
          <c:invertIfNegative val="0"/>
          <c:cat>
            <c:strRef>
              <c:f>Graphs!$P$44:$P$51</c:f>
              <c:strCache>
                <c:ptCount val="8"/>
                <c:pt idx="0">
                  <c:v>LSE:WIZZ</c:v>
                </c:pt>
                <c:pt idx="1">
                  <c:v>IBSE:PGSUS</c:v>
                </c:pt>
                <c:pt idx="2">
                  <c:v>LSE:EZJ</c:v>
                </c:pt>
                <c:pt idx="3">
                  <c:v>ISE:RYA</c:v>
                </c:pt>
                <c:pt idx="4">
                  <c:v>OB:NAS</c:v>
                </c:pt>
                <c:pt idx="5">
                  <c:v>AIM:JET2</c:v>
                </c:pt>
                <c:pt idx="6">
                  <c:v>KWSE:JAZEERA</c:v>
                </c:pt>
                <c:pt idx="7">
                  <c:v>DFM:AIRARABIA</c:v>
                </c:pt>
              </c:strCache>
            </c:strRef>
          </c:cat>
          <c:val>
            <c:numRef>
              <c:f>Graphs!$X$44:$X$51</c:f>
              <c:numCache>
                <c:formatCode>0.0\ \x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0.49360134219876733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5E-4311-8565-386DFC5D9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22566752"/>
        <c:axId val="622564128"/>
      </c:barChart>
      <c:catAx>
        <c:axId val="6225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564128"/>
        <c:crosses val="autoZero"/>
        <c:auto val="1"/>
        <c:lblAlgn val="ctr"/>
        <c:lblOffset val="100"/>
        <c:noMultiLvlLbl val="0"/>
      </c:catAx>
      <c:valAx>
        <c:axId val="62256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\x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56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Graphs!$P$20</c:f>
          <c:strCache>
            <c:ptCount val="1"/>
            <c:pt idx="0">
              <c:v>2-Year EBITDA CAGR, CY 22 - CY 24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_(0.0%_);\(0.0%\);_(&quot;NM&quot;_)_%;_(@_)_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Graphs!$P$44:$P$51</c:f>
              <c:strCache>
                <c:ptCount val="8"/>
                <c:pt idx="0">
                  <c:v>LSE:WIZZ</c:v>
                </c:pt>
                <c:pt idx="1">
                  <c:v>IBSE:PGSUS</c:v>
                </c:pt>
                <c:pt idx="2">
                  <c:v>LSE:EZJ</c:v>
                </c:pt>
                <c:pt idx="3">
                  <c:v>ISE:RYA</c:v>
                </c:pt>
                <c:pt idx="4">
                  <c:v>OB:NAS</c:v>
                </c:pt>
                <c:pt idx="5">
                  <c:v>AIM:JET2</c:v>
                </c:pt>
                <c:pt idx="6">
                  <c:v>KWSE:JAZEERA</c:v>
                </c:pt>
                <c:pt idx="7">
                  <c:v>DFM:AIRARABIA</c:v>
                </c:pt>
              </c:strCache>
            </c:strRef>
          </c:cat>
          <c:val>
            <c:numRef>
              <c:f>Graphs!$T$44:$T$51</c:f>
              <c:numCache>
                <c:formatCode>_(0.0%_);\(0.0%\);_("–"_)_%;_(@_)_%</c:formatCode>
                <c:ptCount val="8"/>
                <c:pt idx="0">
                  <c:v>2.2150308039012678</c:v>
                </c:pt>
                <c:pt idx="1">
                  <c:v>0.50914411084649536</c:v>
                </c:pt>
                <c:pt idx="2">
                  <c:v>0.64730731863409896</c:v>
                </c:pt>
                <c:pt idx="3">
                  <c:v>0.28648528314501909</c:v>
                </c:pt>
                <c:pt idx="4">
                  <c:v>0</c:v>
                </c:pt>
                <c:pt idx="5">
                  <c:v>0.32795467346217344</c:v>
                </c:pt>
                <c:pt idx="6">
                  <c:v>0.2483652676937782</c:v>
                </c:pt>
                <c:pt idx="7">
                  <c:v>3.2590969546099302E-2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5-45A9-A577-BFDE577ADC7F}"/>
            </c:ext>
          </c:extLst>
        </c:ser>
        <c:ser>
          <c:idx val="1"/>
          <c:order val="1"/>
          <c:spPr>
            <a:solidFill>
              <a:srgbClr val="C0504D"/>
            </a:solidFill>
            <a:ln>
              <a:noFill/>
            </a:ln>
            <a:effectLst/>
          </c:spPr>
          <c:invertIfNegative val="0"/>
          <c:cat>
            <c:strRef>
              <c:f>Graphs!$P$44:$P$51</c:f>
              <c:strCache>
                <c:ptCount val="8"/>
                <c:pt idx="0">
                  <c:v>LSE:WIZZ</c:v>
                </c:pt>
                <c:pt idx="1">
                  <c:v>IBSE:PGSUS</c:v>
                </c:pt>
                <c:pt idx="2">
                  <c:v>LSE:EZJ</c:v>
                </c:pt>
                <c:pt idx="3">
                  <c:v>ISE:RYA</c:v>
                </c:pt>
                <c:pt idx="4">
                  <c:v>OB:NAS</c:v>
                </c:pt>
                <c:pt idx="5">
                  <c:v>AIM:JET2</c:v>
                </c:pt>
                <c:pt idx="6">
                  <c:v>KWSE:JAZEERA</c:v>
                </c:pt>
                <c:pt idx="7">
                  <c:v>DFM:AIRARABIA</c:v>
                </c:pt>
              </c:strCache>
            </c:strRef>
          </c:cat>
          <c:val>
            <c:numRef>
              <c:f>Graphs!$U$44:$U$51</c:f>
              <c:numCache>
                <c:formatCode>_(0.0%_);\(0.0%\);_("–"_)_%;_(@_)_%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0.64730731863409896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85-45A9-A577-BFDE577AD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33474496"/>
        <c:axId val="1033473184"/>
      </c:barChart>
      <c:catAx>
        <c:axId val="103347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73184"/>
        <c:crosses val="autoZero"/>
        <c:auto val="1"/>
        <c:lblAlgn val="ctr"/>
        <c:lblOffset val="100"/>
        <c:noMultiLvlLbl val="0"/>
      </c:catAx>
      <c:valAx>
        <c:axId val="103347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\(0.0%\)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7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Graphs!$P$23</c:f>
          <c:strCache>
            <c:ptCount val="1"/>
            <c:pt idx="0">
              <c:v>CY 24 EBITDA Multiples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_(0.0\x_);\(0.0\x%\);_(&quot;NM&quot;_)_%;_(@_)_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Graphs!$P$44:$P$51</c:f>
              <c:strCache>
                <c:ptCount val="8"/>
                <c:pt idx="0">
                  <c:v>LSE:WIZZ</c:v>
                </c:pt>
                <c:pt idx="1">
                  <c:v>IBSE:PGSUS</c:v>
                </c:pt>
                <c:pt idx="2">
                  <c:v>LSE:EZJ</c:v>
                </c:pt>
                <c:pt idx="3">
                  <c:v>ISE:RYA</c:v>
                </c:pt>
                <c:pt idx="4">
                  <c:v>OB:NAS</c:v>
                </c:pt>
                <c:pt idx="5">
                  <c:v>AIM:JET2</c:v>
                </c:pt>
                <c:pt idx="6">
                  <c:v>KWSE:JAZEERA</c:v>
                </c:pt>
                <c:pt idx="7">
                  <c:v>DFM:AIRARABIA</c:v>
                </c:pt>
              </c:strCache>
            </c:strRef>
          </c:cat>
          <c:val>
            <c:numRef>
              <c:f>Graphs!$Z$44:$Z$51</c:f>
              <c:numCache>
                <c:formatCode>0.0\ \x</c:formatCode>
                <c:ptCount val="8"/>
                <c:pt idx="0">
                  <c:v>4.3128356864053226</c:v>
                </c:pt>
                <c:pt idx="1">
                  <c:v>2.6232333634911162</c:v>
                </c:pt>
                <c:pt idx="2">
                  <c:v>4.013147459236813</c:v>
                </c:pt>
                <c:pt idx="3">
                  <c:v>5.2744813578417666</c:v>
                </c:pt>
                <c:pt idx="4">
                  <c:v>2.4389951292079561</c:v>
                </c:pt>
                <c:pt idx="5">
                  <c:v>2.354134156197194</c:v>
                </c:pt>
                <c:pt idx="6">
                  <c:v>8.5050549693387101</c:v>
                </c:pt>
                <c:pt idx="7">
                  <c:v>5.6587695302225267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1-4CFA-9874-23A649B6D794}"/>
            </c:ext>
          </c:extLst>
        </c:ser>
        <c:ser>
          <c:idx val="1"/>
          <c:order val="1"/>
          <c:spPr>
            <a:solidFill>
              <a:srgbClr val="C0504D"/>
            </a:solidFill>
            <a:ln>
              <a:noFill/>
            </a:ln>
            <a:effectLst/>
          </c:spPr>
          <c:invertIfNegative val="0"/>
          <c:cat>
            <c:strRef>
              <c:f>Graphs!$P$44:$P$51</c:f>
              <c:strCache>
                <c:ptCount val="8"/>
                <c:pt idx="0">
                  <c:v>LSE:WIZZ</c:v>
                </c:pt>
                <c:pt idx="1">
                  <c:v>IBSE:PGSUS</c:v>
                </c:pt>
                <c:pt idx="2">
                  <c:v>LSE:EZJ</c:v>
                </c:pt>
                <c:pt idx="3">
                  <c:v>ISE:RYA</c:v>
                </c:pt>
                <c:pt idx="4">
                  <c:v>OB:NAS</c:v>
                </c:pt>
                <c:pt idx="5">
                  <c:v>AIM:JET2</c:v>
                </c:pt>
                <c:pt idx="6">
                  <c:v>KWSE:JAZEERA</c:v>
                </c:pt>
                <c:pt idx="7">
                  <c:v>DFM:AIRARABIA</c:v>
                </c:pt>
              </c:strCache>
            </c:strRef>
          </c:cat>
          <c:val>
            <c:numRef>
              <c:f>Graphs!$AA$44:$AA$51</c:f>
              <c:numCache>
                <c:formatCode>0.0\ \x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4.013147459236813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C1-4CFA-9874-23A649B6D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20966176"/>
        <c:axId val="620968800"/>
      </c:barChart>
      <c:catAx>
        <c:axId val="62096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968800"/>
        <c:crosses val="autoZero"/>
        <c:auto val="1"/>
        <c:lblAlgn val="ctr"/>
        <c:lblOffset val="100"/>
        <c:noMultiLvlLbl val="0"/>
      </c:catAx>
      <c:valAx>
        <c:axId val="62096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\x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96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Graphs!$P$54:$P$244</c:f>
              <c:numCache>
                <c:formatCode>yyyy\-mm\-dd</c:formatCode>
                <c:ptCount val="191"/>
              </c:numCache>
            </c:numRef>
          </c:cat>
          <c:val>
            <c:numRef>
              <c:f>Graphs!$Q$54:$Q$244</c:f>
              <c:numCache>
                <c:formatCode>_(* #,##0.00_);_(* \(#,##0.00\);_(* "-"??_);_(@_)</c:formatCode>
                <c:ptCount val="19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6A5-4168-902D-09A7FA6DAE4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Graphs!$P$54:$P$244</c:f>
              <c:numCache>
                <c:formatCode>yyyy\-mm\-dd</c:formatCode>
                <c:ptCount val="191"/>
              </c:numCache>
            </c:numRef>
          </c:cat>
          <c:val>
            <c:numRef>
              <c:f>Graphs!$R$54:$R$244</c:f>
              <c:numCache>
                <c:formatCode>#,##0</c:formatCode>
                <c:ptCount val="19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76A5-4168-902D-09A7FA6DA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259200"/>
        <c:axId val="619252968"/>
      </c:barChart>
      <c:catAx>
        <c:axId val="61925920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252968"/>
        <c:crosses val="autoZero"/>
        <c:auto val="1"/>
        <c:lblAlgn val="ctr"/>
        <c:lblOffset val="100"/>
        <c:noMultiLvlLbl val="0"/>
      </c:catAx>
      <c:valAx>
        <c:axId val="61925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25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Graphs!$P$54:$P$244</c:f>
              <c:numCache>
                <c:formatCode>yyyy\-mm\-dd</c:formatCode>
                <c:ptCount val="191"/>
              </c:numCache>
            </c:numRef>
          </c:cat>
          <c:val>
            <c:numRef>
              <c:f>Graphs!$Q$54:$Q$244</c:f>
              <c:numCache>
                <c:formatCode>_(* #,##0.00_);_(* \(#,##0.00\);_(* "-"??_);_(@_)</c:formatCode>
                <c:ptCount val="19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4A0-41D7-83E5-624FD3FEFD7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Graphs!$P$54:$P$244</c:f>
              <c:numCache>
                <c:formatCode>yyyy\-mm\-dd</c:formatCode>
                <c:ptCount val="191"/>
              </c:numCache>
            </c:numRef>
          </c:cat>
          <c:val>
            <c:numRef>
              <c:f>Graphs!$R$54:$R$244</c:f>
              <c:numCache>
                <c:formatCode>#,##0</c:formatCode>
                <c:ptCount val="19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4A0-41D7-83E5-624FD3FEF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651312"/>
        <c:axId val="895650984"/>
      </c:barChart>
      <c:catAx>
        <c:axId val="89565131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650984"/>
        <c:crosses val="autoZero"/>
        <c:auto val="1"/>
        <c:lblAlgn val="ctr"/>
        <c:lblOffset val="100"/>
        <c:noMultiLvlLbl val="0"/>
      </c:catAx>
      <c:valAx>
        <c:axId val="89565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65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Graphs!$P$54:$P$244</c:f>
              <c:numCache>
                <c:formatCode>yyyy\-mm\-dd</c:formatCode>
                <c:ptCount val="191"/>
              </c:numCache>
            </c:numRef>
          </c:cat>
          <c:val>
            <c:numRef>
              <c:f>Graphs!$Q$54:$Q$244</c:f>
              <c:numCache>
                <c:formatCode>_(* #,##0.00_);_(* \(#,##0.00\);_(* "-"??_);_(@_)</c:formatCode>
                <c:ptCount val="19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7F9-420C-8D2A-24D2019B246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Graphs!$P$54:$P$244</c:f>
              <c:numCache>
                <c:formatCode>yyyy\-mm\-dd</c:formatCode>
                <c:ptCount val="191"/>
              </c:numCache>
            </c:numRef>
          </c:cat>
          <c:val>
            <c:numRef>
              <c:f>Graphs!$R$54:$R$244</c:f>
              <c:numCache>
                <c:formatCode>#,##0</c:formatCode>
                <c:ptCount val="19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57F9-420C-8D2A-24D2019B2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592128"/>
        <c:axId val="559589176"/>
      </c:barChart>
      <c:catAx>
        <c:axId val="55959212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89176"/>
        <c:crosses val="autoZero"/>
        <c:auto val="1"/>
        <c:lblAlgn val="ctr"/>
        <c:lblOffset val="100"/>
        <c:noMultiLvlLbl val="0"/>
      </c:catAx>
      <c:valAx>
        <c:axId val="55958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9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Graphs!$P$54:$P$244</c:f>
              <c:numCache>
                <c:formatCode>yyyy\-mm\-dd</c:formatCode>
                <c:ptCount val="191"/>
              </c:numCache>
            </c:numRef>
          </c:cat>
          <c:val>
            <c:numRef>
              <c:f>Graphs!$Q$54:$Q$244</c:f>
              <c:numCache>
                <c:formatCode>_(* #,##0.00_);_(* \(#,##0.00\);_(* "-"??_);_(@_)</c:formatCode>
                <c:ptCount val="19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EFD-4C36-B65A-E50A1B848F2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Graphs!$P$54:$P$244</c:f>
              <c:numCache>
                <c:formatCode>yyyy\-mm\-dd</c:formatCode>
                <c:ptCount val="191"/>
              </c:numCache>
            </c:numRef>
          </c:cat>
          <c:val>
            <c:numRef>
              <c:f>Graphs!$R$54:$R$244</c:f>
              <c:numCache>
                <c:formatCode>#,##0</c:formatCode>
                <c:ptCount val="19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EFD-4C36-B65A-E50A1B848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4067552"/>
        <c:axId val="904069520"/>
      </c:barChart>
      <c:catAx>
        <c:axId val="90406755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069520"/>
        <c:crosses val="autoZero"/>
        <c:auto val="1"/>
        <c:lblAlgn val="ctr"/>
        <c:lblOffset val="100"/>
        <c:noMultiLvlLbl val="0"/>
      </c:catAx>
      <c:valAx>
        <c:axId val="90406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06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Graphs!$P$54:$P$244</c:f>
              <c:numCache>
                <c:formatCode>yyyy\-mm\-dd</c:formatCode>
                <c:ptCount val="191"/>
              </c:numCache>
            </c:numRef>
          </c:cat>
          <c:val>
            <c:numRef>
              <c:f>Graphs!$Q$54:$Q$244</c:f>
              <c:numCache>
                <c:formatCode>_(* #,##0.00_);_(* \(#,##0.00\);_(* "-"??_);_(@_)</c:formatCode>
                <c:ptCount val="19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A34-4F5F-B256-C2A9E6B77A1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Graphs!$P$54:$P$244</c:f>
              <c:numCache>
                <c:formatCode>yyyy\-mm\-dd</c:formatCode>
                <c:ptCount val="191"/>
              </c:numCache>
            </c:numRef>
          </c:cat>
          <c:val>
            <c:numRef>
              <c:f>Graphs!$R$54:$R$244</c:f>
              <c:numCache>
                <c:formatCode>#,##0</c:formatCode>
                <c:ptCount val="19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A34-4F5F-B256-C2A9E6B77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005952"/>
        <c:axId val="1103692528"/>
      </c:barChart>
      <c:catAx>
        <c:axId val="56100595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692528"/>
        <c:crosses val="autoZero"/>
        <c:auto val="1"/>
        <c:lblAlgn val="ctr"/>
        <c:lblOffset val="100"/>
        <c:noMultiLvlLbl val="0"/>
      </c:catAx>
      <c:valAx>
        <c:axId val="110369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0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Graphs!$P$54:$P$244</c:f>
              <c:numCache>
                <c:formatCode>yyyy\-mm\-dd</c:formatCode>
                <c:ptCount val="191"/>
              </c:numCache>
            </c:numRef>
          </c:cat>
          <c:val>
            <c:numRef>
              <c:f>Graphs!$R$54:$R$244</c:f>
              <c:numCache>
                <c:formatCode>#,##0</c:formatCode>
                <c:ptCount val="19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D5E-4CE0-9618-C92CCCDE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89299888"/>
        <c:axId val="62549305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Graphs!$P$54:$P$244</c:f>
              <c:numCache>
                <c:formatCode>yyyy\-mm\-dd</c:formatCode>
                <c:ptCount val="191"/>
              </c:numCache>
            </c:numRef>
          </c:cat>
          <c:val>
            <c:numRef>
              <c:f>Graphs!$Q$54:$Q$244</c:f>
              <c:numCache>
                <c:formatCode>_(* #,##0.00_);_(* \(#,##0.00\);_(* "-"??_);_(@_)</c:formatCode>
                <c:ptCount val="191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D5E-4CE0-9618-C92CCCDE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076488"/>
        <c:axId val="623072880"/>
      </c:lineChart>
      <c:catAx>
        <c:axId val="62307648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72880"/>
        <c:crosses val="autoZero"/>
        <c:auto val="0"/>
        <c:lblAlgn val="ctr"/>
        <c:lblOffset val="100"/>
        <c:tickLblSkip val="25"/>
        <c:tickMarkSkip val="25"/>
        <c:noMultiLvlLbl val="0"/>
      </c:catAx>
      <c:valAx>
        <c:axId val="62307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76488"/>
        <c:crosses val="autoZero"/>
        <c:crossBetween val="between"/>
      </c:valAx>
      <c:valAx>
        <c:axId val="625493056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299888"/>
        <c:crosses val="max"/>
        <c:crossBetween val="between"/>
      </c:valAx>
      <c:catAx>
        <c:axId val="88929988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625493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Graphs!$P$54:$P$244</c:f>
              <c:numCache>
                <c:formatCode>yyyy\-mm\-dd</c:formatCode>
                <c:ptCount val="191"/>
              </c:numCache>
            </c:numRef>
          </c:cat>
          <c:val>
            <c:numRef>
              <c:f>Graphs!$R$54:$R$244</c:f>
              <c:numCache>
                <c:formatCode>#,##0</c:formatCode>
                <c:ptCount val="19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CEA-406A-865C-0909AAF9E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29909208"/>
        <c:axId val="623505704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Graphs!$P$54:$P$244</c:f>
              <c:numCache>
                <c:formatCode>yyyy\-mm\-dd</c:formatCode>
                <c:ptCount val="191"/>
              </c:numCache>
            </c:numRef>
          </c:cat>
          <c:val>
            <c:numRef>
              <c:f>Graphs!$Q$54:$Q$244</c:f>
              <c:numCache>
                <c:formatCode>_(* #,##0.00_);_(* \(#,##0.00\);_(* "-"??_);_(@_)</c:formatCode>
                <c:ptCount val="191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CEA-406A-865C-0909AAF9E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615616"/>
        <c:axId val="174312312"/>
      </c:lineChart>
      <c:catAx>
        <c:axId val="110261561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12312"/>
        <c:crosses val="autoZero"/>
        <c:auto val="0"/>
        <c:lblAlgn val="ctr"/>
        <c:lblOffset val="100"/>
        <c:tickLblSkip val="25"/>
        <c:tickMarkSkip val="25"/>
        <c:noMultiLvlLbl val="0"/>
      </c:catAx>
      <c:valAx>
        <c:axId val="174312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615616"/>
        <c:crosses val="autoZero"/>
        <c:crossBetween val="between"/>
      </c:valAx>
      <c:valAx>
        <c:axId val="623505704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909208"/>
        <c:crosses val="max"/>
        <c:crossBetween val="between"/>
      </c:valAx>
      <c:catAx>
        <c:axId val="62990920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623505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Available Seat Kilometre (ASK)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</c:v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numFmt formatCode="0,\ \B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Graphs!$B$82:$N$82</c:f>
              <c:numCache>
                <c:formatCode>"FY"yy</c:formatCode>
                <c:ptCount val="13"/>
                <c:pt idx="0">
                  <c:v>43738</c:v>
                </c:pt>
                <c:pt idx="1">
                  <c:v>44104</c:v>
                </c:pt>
                <c:pt idx="2">
                  <c:v>44469</c:v>
                </c:pt>
                <c:pt idx="3">
                  <c:v>44834</c:v>
                </c:pt>
                <c:pt idx="4">
                  <c:v>45199</c:v>
                </c:pt>
                <c:pt idx="5">
                  <c:v>45565</c:v>
                </c:pt>
                <c:pt idx="6">
                  <c:v>45930</c:v>
                </c:pt>
                <c:pt idx="7">
                  <c:v>46295</c:v>
                </c:pt>
                <c:pt idx="8">
                  <c:v>46660</c:v>
                </c:pt>
                <c:pt idx="9">
                  <c:v>47026</c:v>
                </c:pt>
                <c:pt idx="10">
                  <c:v>47391</c:v>
                </c:pt>
                <c:pt idx="11">
                  <c:v>47756</c:v>
                </c:pt>
                <c:pt idx="12">
                  <c:v>48121</c:v>
                </c:pt>
              </c:numCache>
            </c:numRef>
          </c:cat>
          <c:val>
            <c:numRef>
              <c:f>Graphs!$B$83:$N$83</c:f>
              <c:numCache>
                <c:formatCode>#,##0</c:formatCode>
                <c:ptCount val="13"/>
                <c:pt idx="0">
                  <c:v>116056</c:v>
                </c:pt>
                <c:pt idx="1">
                  <c:v>62830</c:v>
                </c:pt>
                <c:pt idx="2">
                  <c:v>33348</c:v>
                </c:pt>
                <c:pt idx="3">
                  <c:v>82281</c:v>
                </c:pt>
                <c:pt idx="4">
                  <c:v>115193.4</c:v>
                </c:pt>
                <c:pt idx="5">
                  <c:v>134872.49999999997</c:v>
                </c:pt>
                <c:pt idx="6">
                  <c:v>155103.37499999994</c:v>
                </c:pt>
                <c:pt idx="7">
                  <c:v>174491.29687499994</c:v>
                </c:pt>
                <c:pt idx="8">
                  <c:v>191940.42656249995</c:v>
                </c:pt>
                <c:pt idx="9">
                  <c:v>211134.46921874996</c:v>
                </c:pt>
                <c:pt idx="10">
                  <c:v>226969.55441015621</c:v>
                </c:pt>
                <c:pt idx="11">
                  <c:v>238318.03213066404</c:v>
                </c:pt>
                <c:pt idx="12">
                  <c:v>250233.93373719725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2-4C4D-BD15-B91E4BA06C73}"/>
            </c:ext>
          </c:extLst>
        </c:ser>
        <c:ser>
          <c:idx val="1"/>
          <c:order val="1"/>
          <c:tx>
            <c:v>Stressed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Graphs!$B$82:$N$82</c:f>
              <c:numCache>
                <c:formatCode>"FY"yy</c:formatCode>
                <c:ptCount val="13"/>
                <c:pt idx="0">
                  <c:v>43738</c:v>
                </c:pt>
                <c:pt idx="1">
                  <c:v>44104</c:v>
                </c:pt>
                <c:pt idx="2">
                  <c:v>44469</c:v>
                </c:pt>
                <c:pt idx="3">
                  <c:v>44834</c:v>
                </c:pt>
                <c:pt idx="4">
                  <c:v>45199</c:v>
                </c:pt>
                <c:pt idx="5">
                  <c:v>45565</c:v>
                </c:pt>
                <c:pt idx="6">
                  <c:v>45930</c:v>
                </c:pt>
                <c:pt idx="7">
                  <c:v>46295</c:v>
                </c:pt>
                <c:pt idx="8">
                  <c:v>46660</c:v>
                </c:pt>
                <c:pt idx="9">
                  <c:v>47026</c:v>
                </c:pt>
                <c:pt idx="10">
                  <c:v>47391</c:v>
                </c:pt>
                <c:pt idx="11">
                  <c:v>47756</c:v>
                </c:pt>
                <c:pt idx="12">
                  <c:v>48121</c:v>
                </c:pt>
              </c:numCache>
            </c:numRef>
          </c:cat>
          <c:val>
            <c:numRef>
              <c:f>Graphs!$B$84:$N$84</c:f>
              <c:numCache>
                <c:formatCode>#,##0</c:formatCode>
                <c:ptCount val="13"/>
                <c:pt idx="0">
                  <c:v>116056</c:v>
                </c:pt>
                <c:pt idx="1">
                  <c:v>62830</c:v>
                </c:pt>
                <c:pt idx="2">
                  <c:v>33348</c:v>
                </c:pt>
                <c:pt idx="3">
                  <c:v>69651</c:v>
                </c:pt>
                <c:pt idx="4">
                  <c:v>92260.650000000009</c:v>
                </c:pt>
                <c:pt idx="5">
                  <c:v>115325.81250000001</c:v>
                </c:pt>
                <c:pt idx="6">
                  <c:v>135507.82968750002</c:v>
                </c:pt>
                <c:pt idx="7">
                  <c:v>152446.30839843751</c:v>
                </c:pt>
                <c:pt idx="8">
                  <c:v>167690.93923828128</c:v>
                </c:pt>
                <c:pt idx="9">
                  <c:v>184460.03316210944</c:v>
                </c:pt>
                <c:pt idx="10">
                  <c:v>198294.53564926764</c:v>
                </c:pt>
                <c:pt idx="11">
                  <c:v>213166.6258229627</c:v>
                </c:pt>
                <c:pt idx="12">
                  <c:v>223824.95711411085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2-4C4D-BD15-B91E4BA06C73}"/>
            </c:ext>
          </c:extLst>
        </c:ser>
        <c:ser>
          <c:idx val="2"/>
          <c:order val="2"/>
          <c:tx>
            <c:v>Super-Stressed</c:v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Graphs!$B$82:$N$82</c:f>
              <c:numCache>
                <c:formatCode>"FY"yy</c:formatCode>
                <c:ptCount val="13"/>
                <c:pt idx="0">
                  <c:v>43738</c:v>
                </c:pt>
                <c:pt idx="1">
                  <c:v>44104</c:v>
                </c:pt>
                <c:pt idx="2">
                  <c:v>44469</c:v>
                </c:pt>
                <c:pt idx="3">
                  <c:v>44834</c:v>
                </c:pt>
                <c:pt idx="4">
                  <c:v>45199</c:v>
                </c:pt>
                <c:pt idx="5">
                  <c:v>45565</c:v>
                </c:pt>
                <c:pt idx="6">
                  <c:v>45930</c:v>
                </c:pt>
                <c:pt idx="7">
                  <c:v>46295</c:v>
                </c:pt>
                <c:pt idx="8">
                  <c:v>46660</c:v>
                </c:pt>
                <c:pt idx="9">
                  <c:v>47026</c:v>
                </c:pt>
                <c:pt idx="10">
                  <c:v>47391</c:v>
                </c:pt>
                <c:pt idx="11">
                  <c:v>47756</c:v>
                </c:pt>
                <c:pt idx="12">
                  <c:v>48121</c:v>
                </c:pt>
              </c:numCache>
            </c:numRef>
          </c:cat>
          <c:val>
            <c:numRef>
              <c:f>Graphs!$B$85:$N$85</c:f>
              <c:numCache>
                <c:formatCode>#,##0</c:formatCode>
                <c:ptCount val="13"/>
                <c:pt idx="0">
                  <c:v>116056</c:v>
                </c:pt>
                <c:pt idx="1">
                  <c:v>62830</c:v>
                </c:pt>
                <c:pt idx="2">
                  <c:v>33348</c:v>
                </c:pt>
                <c:pt idx="3">
                  <c:v>67125</c:v>
                </c:pt>
                <c:pt idx="4">
                  <c:v>85620.6</c:v>
                </c:pt>
                <c:pt idx="5">
                  <c:v>100692.34499999999</c:v>
                </c:pt>
                <c:pt idx="6">
                  <c:v>113278.88812499998</c:v>
                </c:pt>
                <c:pt idx="7">
                  <c:v>124606.77693749999</c:v>
                </c:pt>
                <c:pt idx="8">
                  <c:v>137067.45463125</c:v>
                </c:pt>
                <c:pt idx="9">
                  <c:v>150774.200094375</c:v>
                </c:pt>
                <c:pt idx="10">
                  <c:v>165851.62010381251</c:v>
                </c:pt>
                <c:pt idx="11">
                  <c:v>182436.78211419377</c:v>
                </c:pt>
                <c:pt idx="12">
                  <c:v>196119.54077275831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D-44A3-B67C-E06C12124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772256"/>
        <c:axId val="468772584"/>
      </c:barChart>
      <c:dateAx>
        <c:axId val="468772256"/>
        <c:scaling>
          <c:orientation val="minMax"/>
        </c:scaling>
        <c:delete val="0"/>
        <c:axPos val="b"/>
        <c:numFmt formatCode="&quot;FY&quot;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72584"/>
        <c:crosses val="autoZero"/>
        <c:auto val="1"/>
        <c:lblOffset val="100"/>
        <c:baseTimeUnit val="years"/>
      </c:dateAx>
      <c:valAx>
        <c:axId val="46877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\ \B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7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EBITDAR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</c:v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numFmt formatCode="[$£-8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Graphs!$B$117:$N$117</c:f>
              <c:numCache>
                <c:formatCode>"FY"yy</c:formatCode>
                <c:ptCount val="13"/>
                <c:pt idx="0">
                  <c:v>43738</c:v>
                </c:pt>
                <c:pt idx="1">
                  <c:v>44104</c:v>
                </c:pt>
                <c:pt idx="2">
                  <c:v>44469</c:v>
                </c:pt>
                <c:pt idx="3">
                  <c:v>44834</c:v>
                </c:pt>
                <c:pt idx="4">
                  <c:v>45199</c:v>
                </c:pt>
                <c:pt idx="5">
                  <c:v>45565</c:v>
                </c:pt>
                <c:pt idx="6">
                  <c:v>45930</c:v>
                </c:pt>
                <c:pt idx="7">
                  <c:v>46295</c:v>
                </c:pt>
                <c:pt idx="8">
                  <c:v>46660</c:v>
                </c:pt>
                <c:pt idx="9">
                  <c:v>47026</c:v>
                </c:pt>
                <c:pt idx="10">
                  <c:v>47391</c:v>
                </c:pt>
                <c:pt idx="11">
                  <c:v>47756</c:v>
                </c:pt>
                <c:pt idx="12">
                  <c:v>48121</c:v>
                </c:pt>
              </c:numCache>
            </c:numRef>
          </c:cat>
          <c:val>
            <c:numRef>
              <c:f>Graphs!$B$118:$N$118</c:f>
              <c:numCache>
                <c:formatCode>_-[$£-809]* #,##0_-;\-[$£-809]* #,##0_-;_-[$£-809]* "-"_-;_-@_-</c:formatCode>
                <c:ptCount val="13"/>
                <c:pt idx="0">
                  <c:v>970</c:v>
                </c:pt>
                <c:pt idx="1">
                  <c:v>-358</c:v>
                </c:pt>
                <c:pt idx="2">
                  <c:v>-425</c:v>
                </c:pt>
                <c:pt idx="3">
                  <c:v>222.94449999999983</c:v>
                </c:pt>
                <c:pt idx="4">
                  <c:v>701.42618699999912</c:v>
                </c:pt>
                <c:pt idx="5">
                  <c:v>978.69196319999924</c:v>
                </c:pt>
                <c:pt idx="6">
                  <c:v>1169.091689062501</c:v>
                </c:pt>
                <c:pt idx="7">
                  <c:v>1435.1909167968738</c:v>
                </c:pt>
                <c:pt idx="8">
                  <c:v>1689.2556978999023</c:v>
                </c:pt>
                <c:pt idx="9">
                  <c:v>1947.1876423699209</c:v>
                </c:pt>
                <c:pt idx="10">
                  <c:v>2079.6085422830593</c:v>
                </c:pt>
                <c:pt idx="11">
                  <c:v>2171.0772727103526</c:v>
                </c:pt>
                <c:pt idx="12">
                  <c:v>2316.5406415721054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8-445F-9CDC-09B3DDCB2EA0}"/>
            </c:ext>
          </c:extLst>
        </c:ser>
        <c:ser>
          <c:idx val="1"/>
          <c:order val="1"/>
          <c:tx>
            <c:v>Stressed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Graphs!$B$117:$N$117</c:f>
              <c:numCache>
                <c:formatCode>"FY"yy</c:formatCode>
                <c:ptCount val="13"/>
                <c:pt idx="0">
                  <c:v>43738</c:v>
                </c:pt>
                <c:pt idx="1">
                  <c:v>44104</c:v>
                </c:pt>
                <c:pt idx="2">
                  <c:v>44469</c:v>
                </c:pt>
                <c:pt idx="3">
                  <c:v>44834</c:v>
                </c:pt>
                <c:pt idx="4">
                  <c:v>45199</c:v>
                </c:pt>
                <c:pt idx="5">
                  <c:v>45565</c:v>
                </c:pt>
                <c:pt idx="6">
                  <c:v>45930</c:v>
                </c:pt>
                <c:pt idx="7">
                  <c:v>46295</c:v>
                </c:pt>
                <c:pt idx="8">
                  <c:v>46660</c:v>
                </c:pt>
                <c:pt idx="9">
                  <c:v>47026</c:v>
                </c:pt>
                <c:pt idx="10">
                  <c:v>47391</c:v>
                </c:pt>
                <c:pt idx="11">
                  <c:v>47756</c:v>
                </c:pt>
                <c:pt idx="12">
                  <c:v>48121</c:v>
                </c:pt>
              </c:numCache>
            </c:numRef>
          </c:cat>
          <c:val>
            <c:numRef>
              <c:f>Graphs!$B$119:$N$119</c:f>
              <c:numCache>
                <c:formatCode>_(* #,##0_);_(* \(#,##0\);_(* "-"_);_(@_)</c:formatCode>
                <c:ptCount val="13"/>
                <c:pt idx="0">
                  <c:v>970</c:v>
                </c:pt>
                <c:pt idx="1">
                  <c:v>-358</c:v>
                </c:pt>
                <c:pt idx="2">
                  <c:v>-425</c:v>
                </c:pt>
                <c:pt idx="3">
                  <c:v>99.044200000000046</c:v>
                </c:pt>
                <c:pt idx="4">
                  <c:v>335.55186449999974</c:v>
                </c:pt>
                <c:pt idx="5">
                  <c:v>542.39064374999953</c:v>
                </c:pt>
                <c:pt idx="6">
                  <c:v>777.81494240625125</c:v>
                </c:pt>
                <c:pt idx="7">
                  <c:v>932.97140739843735</c:v>
                </c:pt>
                <c:pt idx="8">
                  <c:v>1140.4555970758493</c:v>
                </c:pt>
                <c:pt idx="9">
                  <c:v>1276.9245795647043</c:v>
                </c:pt>
                <c:pt idx="10">
                  <c:v>1420.2846115878801</c:v>
                </c:pt>
                <c:pt idx="11">
                  <c:v>1558.2480347658588</c:v>
                </c:pt>
                <c:pt idx="12">
                  <c:v>1669.1746176784841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18-445F-9CDC-09B3DDCB2EA0}"/>
            </c:ext>
          </c:extLst>
        </c:ser>
        <c:ser>
          <c:idx val="2"/>
          <c:order val="2"/>
          <c:tx>
            <c:v>Super-Stressed</c:v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Graphs!$B$117:$N$117</c:f>
              <c:numCache>
                <c:formatCode>"FY"yy</c:formatCode>
                <c:ptCount val="13"/>
                <c:pt idx="0">
                  <c:v>43738</c:v>
                </c:pt>
                <c:pt idx="1">
                  <c:v>44104</c:v>
                </c:pt>
                <c:pt idx="2">
                  <c:v>44469</c:v>
                </c:pt>
                <c:pt idx="3">
                  <c:v>44834</c:v>
                </c:pt>
                <c:pt idx="4">
                  <c:v>45199</c:v>
                </c:pt>
                <c:pt idx="5">
                  <c:v>45565</c:v>
                </c:pt>
                <c:pt idx="6">
                  <c:v>45930</c:v>
                </c:pt>
                <c:pt idx="7">
                  <c:v>46295</c:v>
                </c:pt>
                <c:pt idx="8">
                  <c:v>46660</c:v>
                </c:pt>
                <c:pt idx="9">
                  <c:v>47026</c:v>
                </c:pt>
                <c:pt idx="10">
                  <c:v>47391</c:v>
                </c:pt>
                <c:pt idx="11">
                  <c:v>47756</c:v>
                </c:pt>
                <c:pt idx="12">
                  <c:v>48121</c:v>
                </c:pt>
              </c:numCache>
            </c:numRef>
          </c:cat>
          <c:val>
            <c:numRef>
              <c:f>Graphs!$B$120:$N$120</c:f>
              <c:numCache>
                <c:formatCode>_(* #,##0_);_(* \(#,##0\);_(* "-"_);_(@_)</c:formatCode>
                <c:ptCount val="13"/>
                <c:pt idx="0">
                  <c:v>970</c:v>
                </c:pt>
                <c:pt idx="1">
                  <c:v>-358</c:v>
                </c:pt>
                <c:pt idx="2">
                  <c:v>-425</c:v>
                </c:pt>
                <c:pt idx="3">
                  <c:v>66.332500000000209</c:v>
                </c:pt>
                <c:pt idx="4">
                  <c:v>213.49410224999974</c:v>
                </c:pt>
                <c:pt idx="5">
                  <c:v>228.41440244999922</c:v>
                </c:pt>
                <c:pt idx="6">
                  <c:v>402.14005284375139</c:v>
                </c:pt>
                <c:pt idx="7">
                  <c:v>561.97656398812501</c:v>
                </c:pt>
                <c:pt idx="8">
                  <c:v>795.11973759996545</c:v>
                </c:pt>
                <c:pt idx="9">
                  <c:v>892.96020005893797</c:v>
                </c:pt>
                <c:pt idx="10">
                  <c:v>1022.0606088897448</c:v>
                </c:pt>
                <c:pt idx="11">
                  <c:v>1151.176095140564</c:v>
                </c:pt>
                <c:pt idx="12">
                  <c:v>1266.4419345400879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E-45FF-A424-D0CF558C2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772256"/>
        <c:axId val="468772584"/>
      </c:barChart>
      <c:dateAx>
        <c:axId val="468772256"/>
        <c:scaling>
          <c:orientation val="minMax"/>
        </c:scaling>
        <c:delete val="0"/>
        <c:axPos val="b"/>
        <c:numFmt formatCode="&quot;FY&quot;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72584"/>
        <c:crosses val="autoZero"/>
        <c:auto val="1"/>
        <c:lblOffset val="100"/>
        <c:baseTimeUnit val="years"/>
      </c:dateAx>
      <c:valAx>
        <c:axId val="46877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£#,000\ \M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7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strRef>
          <c:f>ValGraph!$W$2</c:f>
          <c:strCache>
            <c:ptCount val="1"/>
            <c:pt idx="0">
              <c:v>easyJet plc Valuation - Range of Implied Share Prices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1"/>
          <c:spPr>
            <a:noFill/>
            <a:ln>
              <a:noFill/>
            </a:ln>
            <a:effectLst/>
          </c:spPr>
          <c:invertIfNegative val="0"/>
          <c:cat>
            <c:strRef>
              <c:f>ValGraph!$B$34:$B$47</c:f>
              <c:strCache>
                <c:ptCount val="13"/>
                <c:pt idx="0">
                  <c:v>7.0% - 10.0% Discount Rate, 0.0% - 1.0% Terminal FCF Growth Rate:</c:v>
                </c:pt>
                <c:pt idx="1">
                  <c:v>NTM TEV / EBITDA:</c:v>
                </c:pt>
                <c:pt idx="2">
                  <c:v>NTM TEV / Revenue:</c:v>
                </c:pt>
                <c:pt idx="3">
                  <c:v>CY 24 P / E:</c:v>
                </c:pt>
                <c:pt idx="4">
                  <c:v>CY 23 P / E:</c:v>
                </c:pt>
                <c:pt idx="5">
                  <c:v>CY 22 P / E:</c:v>
                </c:pt>
                <c:pt idx="6">
                  <c:v>CY 24 TEV / EBITDA:</c:v>
                </c:pt>
                <c:pt idx="7">
                  <c:v>CY 23 TEV / EBITDA:</c:v>
                </c:pt>
                <c:pt idx="8">
                  <c:v>CY 22 TEV / EBITDA:</c:v>
                </c:pt>
                <c:pt idx="9">
                  <c:v>CY 24 TEV / Revenue:</c:v>
                </c:pt>
                <c:pt idx="10">
                  <c:v>CY 23 TEV / Revenue:</c:v>
                </c:pt>
                <c:pt idx="11">
                  <c:v>CY 22 TEV / Revenue:</c:v>
                </c:pt>
                <c:pt idx="12">
                  <c:v>Current Share Price</c:v>
                </c:pt>
              </c:strCache>
            </c:strRef>
          </c:cat>
          <c:val>
            <c:numRef>
              <c:f>ValGraph!$N$34:$N$45</c:f>
              <c:numCache>
                <c:formatCode>_(* #,##0.00_);_(* \(#,##0.00\);_(* "-"??_);_(@_)</c:formatCode>
                <c:ptCount val="12"/>
                <c:pt idx="0" formatCode="_-[$£-809]* #,##0.00_-;\-[$£-809]* #,##0.00_-;_-[$£-809]* &quot;-&quot;??_-;_-@_-">
                  <c:v>8.6401228498470459</c:v>
                </c:pt>
                <c:pt idx="1">
                  <c:v>1.8955661605585046</c:v>
                </c:pt>
                <c:pt idx="2">
                  <c:v>1.1856702935144401</c:v>
                </c:pt>
                <c:pt idx="3">
                  <c:v>0.47779967676202073</c:v>
                </c:pt>
                <c:pt idx="4">
                  <c:v>0.84582891830104034</c:v>
                </c:pt>
                <c:pt idx="5">
                  <c:v>0</c:v>
                </c:pt>
                <c:pt idx="6">
                  <c:v>2.6649584767100416</c:v>
                </c:pt>
                <c:pt idx="7">
                  <c:v>2.4759111594673588</c:v>
                </c:pt>
                <c:pt idx="8">
                  <c:v>1.7378103614609242</c:v>
                </c:pt>
                <c:pt idx="9">
                  <c:v>2.4065122737390072</c:v>
                </c:pt>
                <c:pt idx="10">
                  <c:v>2.37304320362529</c:v>
                </c:pt>
                <c:pt idx="11">
                  <c:v>2.2622341840794808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9-48D5-B9DE-E06ECA253A59}"/>
            </c:ext>
          </c:extLst>
        </c:ser>
        <c:ser>
          <c:idx val="1"/>
          <c:order val="2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59544EC-CF43-9C48-B79E-ABEDB97C4D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38E-435B-B5A5-9ABCE52453A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FC6A76C-2CF0-D646-B6D2-922DD613A8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38E-435B-B5A5-9ABCE52453A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385C895-4763-BF47-88F6-B94A02DD12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38E-435B-B5A5-9ABCE52453A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7557F2B-ABCF-AB47-A8B0-064E40EC9D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38E-435B-B5A5-9ABCE52453A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07FD2D8-D22B-CE44-AF27-E9146E0B22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38E-435B-B5A5-9ABCE52453A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8E-435B-B5A5-9ABCE52453A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972B598-A0D9-4B4D-8882-9D5E93F8C1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38E-435B-B5A5-9ABCE52453A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A06DD1C-C643-E84A-B784-443110A62E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38E-435B-B5A5-9ABCE52453A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7363417-EDE2-2849-B2B5-856EEBF35A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38E-435B-B5A5-9ABCE52453A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654FE46-551D-1049-94D5-EA12C6D01E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38E-435B-B5A5-9ABCE52453A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5CA9DF5-72F1-4542-988F-1761FC42C9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38E-435B-B5A5-9ABCE52453A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0AB0388-C4BD-B24B-B45C-F65AE88E72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38E-435B-B5A5-9ABCE52453A2}"/>
                </c:ext>
              </c:extLst>
            </c:dLbl>
            <c:numFmt formatCode="[$£-8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ValGraph!$B$34:$B$47</c:f>
              <c:strCache>
                <c:ptCount val="13"/>
                <c:pt idx="0">
                  <c:v>7.0% - 10.0% Discount Rate, 0.0% - 1.0% Terminal FCF Growth Rate:</c:v>
                </c:pt>
                <c:pt idx="1">
                  <c:v>NTM TEV / EBITDA:</c:v>
                </c:pt>
                <c:pt idx="2">
                  <c:v>NTM TEV / Revenue:</c:v>
                </c:pt>
                <c:pt idx="3">
                  <c:v>CY 24 P / E:</c:v>
                </c:pt>
                <c:pt idx="4">
                  <c:v>CY 23 P / E:</c:v>
                </c:pt>
                <c:pt idx="5">
                  <c:v>CY 22 P / E:</c:v>
                </c:pt>
                <c:pt idx="6">
                  <c:v>CY 24 TEV / EBITDA:</c:v>
                </c:pt>
                <c:pt idx="7">
                  <c:v>CY 23 TEV / EBITDA:</c:v>
                </c:pt>
                <c:pt idx="8">
                  <c:v>CY 22 TEV / EBITDA:</c:v>
                </c:pt>
                <c:pt idx="9">
                  <c:v>CY 24 TEV / Revenue:</c:v>
                </c:pt>
                <c:pt idx="10">
                  <c:v>CY 23 TEV / Revenue:</c:v>
                </c:pt>
                <c:pt idx="11">
                  <c:v>CY 22 TEV / Revenue:</c:v>
                </c:pt>
                <c:pt idx="12">
                  <c:v>Current Share Price</c:v>
                </c:pt>
              </c:strCache>
            </c:strRef>
          </c:cat>
          <c:val>
            <c:numRef>
              <c:f>ValGraph!$O$34:$O$45</c:f>
              <c:numCache>
                <c:formatCode>_(* #,##0.00_);_(* \(#,##0.00\);_(* "-"??_);_(@_)</c:formatCode>
                <c:ptCount val="12"/>
                <c:pt idx="0" formatCode="_-[$£-809]* #,##0.00_-;\-[$£-809]* #,##0.00_-;_-[$£-809]* &quot;-&quot;??_-;_-@_-">
                  <c:v>1.090898690112768</c:v>
                </c:pt>
                <c:pt idx="1">
                  <c:v>1.3544621738254967</c:v>
                </c:pt>
                <c:pt idx="2">
                  <c:v>0.98880652270557001</c:v>
                </c:pt>
                <c:pt idx="3">
                  <c:v>1.3721739568817575</c:v>
                </c:pt>
                <c:pt idx="4">
                  <c:v>0.62077306026460022</c:v>
                </c:pt>
                <c:pt idx="5">
                  <c:v>0</c:v>
                </c:pt>
                <c:pt idx="6">
                  <c:v>0.19906543028605439</c:v>
                </c:pt>
                <c:pt idx="7">
                  <c:v>0.937909368055033</c:v>
                </c:pt>
                <c:pt idx="8">
                  <c:v>0.76177199112174354</c:v>
                </c:pt>
                <c:pt idx="9">
                  <c:v>3.8873281849956505</c:v>
                </c:pt>
                <c:pt idx="10">
                  <c:v>4.3819691475791531</c:v>
                </c:pt>
                <c:pt idx="11">
                  <c:v>4.7097261414278888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ValGraph!$J$34:$J$45</c15:f>
                <c15:dlblRangeCache>
                  <c:ptCount val="12"/>
                  <c:pt idx="0">
                    <c:v> £9.73 </c:v>
                  </c:pt>
                  <c:pt idx="1">
                    <c:v> £3.25 </c:v>
                  </c:pt>
                  <c:pt idx="2">
                    <c:v> £2.17 </c:v>
                  </c:pt>
                  <c:pt idx="3">
                    <c:v> £1.85 </c:v>
                  </c:pt>
                  <c:pt idx="4">
                    <c:v> £1.47 </c:v>
                  </c:pt>
                  <c:pt idx="5">
                    <c:v> £-   </c:v>
                  </c:pt>
                  <c:pt idx="6">
                    <c:v> £2.86 </c:v>
                  </c:pt>
                  <c:pt idx="7">
                    <c:v> £3.41 </c:v>
                  </c:pt>
                  <c:pt idx="8">
                    <c:v> £2.50 </c:v>
                  </c:pt>
                  <c:pt idx="9">
                    <c:v> £6.29 </c:v>
                  </c:pt>
                  <c:pt idx="10">
                    <c:v> £6.76 </c:v>
                  </c:pt>
                  <c:pt idx="11">
                    <c:v> £6.97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8349-48D5-B9DE-E06ECA253A59}"/>
            </c:ext>
          </c:extLst>
        </c:ser>
        <c:ser>
          <c:idx val="2"/>
          <c:order val="3"/>
          <c:tx>
            <c:v>25th to Median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ValGraph!$B$34:$B$47</c:f>
              <c:strCache>
                <c:ptCount val="13"/>
                <c:pt idx="0">
                  <c:v>7.0% - 10.0% Discount Rate, 0.0% - 1.0% Terminal FCF Growth Rate:</c:v>
                </c:pt>
                <c:pt idx="1">
                  <c:v>NTM TEV / EBITDA:</c:v>
                </c:pt>
                <c:pt idx="2">
                  <c:v>NTM TEV / Revenue:</c:v>
                </c:pt>
                <c:pt idx="3">
                  <c:v>CY 24 P / E:</c:v>
                </c:pt>
                <c:pt idx="4">
                  <c:v>CY 23 P / E:</c:v>
                </c:pt>
                <c:pt idx="5">
                  <c:v>CY 22 P / E:</c:v>
                </c:pt>
                <c:pt idx="6">
                  <c:v>CY 24 TEV / EBITDA:</c:v>
                </c:pt>
                <c:pt idx="7">
                  <c:v>CY 23 TEV / EBITDA:</c:v>
                </c:pt>
                <c:pt idx="8">
                  <c:v>CY 22 TEV / EBITDA:</c:v>
                </c:pt>
                <c:pt idx="9">
                  <c:v>CY 24 TEV / Revenue:</c:v>
                </c:pt>
                <c:pt idx="10">
                  <c:v>CY 23 TEV / Revenue:</c:v>
                </c:pt>
                <c:pt idx="11">
                  <c:v>CY 22 TEV / Revenue:</c:v>
                </c:pt>
                <c:pt idx="12">
                  <c:v>Current Share Price</c:v>
                </c:pt>
              </c:strCache>
            </c:strRef>
          </c:cat>
          <c:val>
            <c:numRef>
              <c:f>ValGraph!$P$34:$P$45</c:f>
              <c:numCache>
                <c:formatCode>_(* #,##0.00_);_(* \(#,##0.00\);_(* "-"??_);_(@_)</c:formatCode>
                <c:ptCount val="12"/>
                <c:pt idx="0" formatCode="_-[$£-809]* #,##0.00_-;\-[$£-809]* #,##0.00_-;_-[$£-809]* &quot;-&quot;??_-;_-@_-">
                  <c:v>1.2660371089255218</c:v>
                </c:pt>
                <c:pt idx="1">
                  <c:v>1.4077363884189711</c:v>
                </c:pt>
                <c:pt idx="2">
                  <c:v>1.3484300845671577</c:v>
                </c:pt>
                <c:pt idx="3">
                  <c:v>0.28159315670798435</c:v>
                </c:pt>
                <c:pt idx="4">
                  <c:v>0.24417691009618392</c:v>
                </c:pt>
                <c:pt idx="5">
                  <c:v>0</c:v>
                </c:pt>
                <c:pt idx="6">
                  <c:v>2.0040624050382791</c:v>
                </c:pt>
                <c:pt idx="7">
                  <c:v>2.1399158123335513</c:v>
                </c:pt>
                <c:pt idx="8">
                  <c:v>0.57711182298872732</c:v>
                </c:pt>
                <c:pt idx="9">
                  <c:v>2.2710474692372413</c:v>
                </c:pt>
                <c:pt idx="10">
                  <c:v>2.9265833973789865</c:v>
                </c:pt>
                <c:pt idx="11">
                  <c:v>3.271214021039917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49-48D5-B9DE-E06ECA253A59}"/>
            </c:ext>
          </c:extLst>
        </c:ser>
        <c:ser>
          <c:idx val="3"/>
          <c:order val="4"/>
          <c:tx>
            <c:v>Median to 75th</c:v>
          </c:tx>
          <c:spPr>
            <a:solidFill>
              <a:schemeClr val="accent1">
                <a:tint val="77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5.6047281321481936E-2"/>
                  <c:y val="-2.1401815548031402E-3"/>
                </c:manualLayout>
              </c:layout>
              <c:tx>
                <c:rich>
                  <a:bodyPr/>
                  <a:lstStyle/>
                  <a:p>
                    <a:fld id="{41B52785-6B30-B649-8E22-57D6C8E462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38E-435B-B5A5-9ABCE52453A2}"/>
                </c:ext>
              </c:extLst>
            </c:dLbl>
            <c:dLbl>
              <c:idx val="1"/>
              <c:layout>
                <c:manualLayout>
                  <c:x val="0.11646475164211359"/>
                  <c:y val="0"/>
                </c:manualLayout>
              </c:layout>
              <c:tx>
                <c:rich>
                  <a:bodyPr/>
                  <a:lstStyle/>
                  <a:p>
                    <a:fld id="{719651DF-C147-A445-9E92-67792F9933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E38E-435B-B5A5-9ABCE52453A2}"/>
                </c:ext>
              </c:extLst>
            </c:dLbl>
            <c:dLbl>
              <c:idx val="2"/>
              <c:layout>
                <c:manualLayout>
                  <c:x val="4.1719170651903836E-2"/>
                  <c:y val="-2.1401815548031402E-3"/>
                </c:manualLayout>
              </c:layout>
              <c:tx>
                <c:rich>
                  <a:bodyPr/>
                  <a:lstStyle/>
                  <a:p>
                    <a:fld id="{95D1074A-6134-7A43-B1A0-8D8C680896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E38E-435B-B5A5-9ABCE52453A2}"/>
                </c:ext>
              </c:extLst>
            </c:dLbl>
            <c:dLbl>
              <c:idx val="3"/>
              <c:layout>
                <c:manualLayout>
                  <c:x val="2.7229970368122695E-2"/>
                  <c:y val="0"/>
                </c:manualLayout>
              </c:layout>
              <c:tx>
                <c:rich>
                  <a:bodyPr/>
                  <a:lstStyle/>
                  <a:p>
                    <a:fld id="{470B6E04-4AFC-974A-85E7-9864ACCE1B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38E-435B-B5A5-9ABCE52453A2}"/>
                </c:ext>
              </c:extLst>
            </c:dLbl>
            <c:dLbl>
              <c:idx val="4"/>
              <c:layout>
                <c:manualLayout>
                  <c:x val="3.8591853880575351E-2"/>
                  <c:y val="-4.2803631096063593E-3"/>
                </c:manualLayout>
              </c:layout>
              <c:tx>
                <c:rich>
                  <a:bodyPr/>
                  <a:lstStyle/>
                  <a:p>
                    <a:fld id="{39C341BD-B362-5E49-BF5F-4997A90235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38E-435B-B5A5-9ABCE52453A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8E-435B-B5A5-9ABCE52453A2}"/>
                </c:ext>
              </c:extLst>
            </c:dLbl>
            <c:dLbl>
              <c:idx val="6"/>
              <c:layout>
                <c:manualLayout>
                  <c:x val="4.920646057158614E-2"/>
                  <c:y val="-4.2803631096062804E-3"/>
                </c:manualLayout>
              </c:layout>
              <c:tx>
                <c:rich>
                  <a:bodyPr/>
                  <a:lstStyle/>
                  <a:p>
                    <a:fld id="{D961928A-E316-794F-BBEB-5386653C91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38E-435B-B5A5-9ABCE52453A2}"/>
                </c:ext>
              </c:extLst>
            </c:dLbl>
            <c:dLbl>
              <c:idx val="7"/>
              <c:layout>
                <c:manualLayout>
                  <c:x val="3.3647635380919104E-2"/>
                  <c:y val="-7.8472417156055849E-17"/>
                </c:manualLayout>
              </c:layout>
              <c:tx>
                <c:rich>
                  <a:bodyPr/>
                  <a:lstStyle/>
                  <a:p>
                    <a:fld id="{273534F8-3511-CE4C-B651-48FA16F1C7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38E-435B-B5A5-9ABCE52453A2}"/>
                </c:ext>
              </c:extLst>
            </c:dLbl>
            <c:dLbl>
              <c:idx val="8"/>
              <c:layout>
                <c:manualLayout>
                  <c:x val="6.2340751982867086E-2"/>
                  <c:y val="-2.1401815548031796E-3"/>
                </c:manualLayout>
              </c:layout>
              <c:tx>
                <c:rich>
                  <a:bodyPr/>
                  <a:lstStyle/>
                  <a:p>
                    <a:fld id="{3D5F6D6B-F179-F145-8B79-226A6A2411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38E-435B-B5A5-9ABCE52453A2}"/>
                </c:ext>
              </c:extLst>
            </c:dLbl>
            <c:dLbl>
              <c:idx val="9"/>
              <c:layout>
                <c:manualLayout>
                  <c:x val="0.12260692639749673"/>
                  <c:y val="-2.1401815548031402E-3"/>
                </c:manualLayout>
              </c:layout>
              <c:tx>
                <c:rich>
                  <a:bodyPr/>
                  <a:lstStyle/>
                  <a:p>
                    <a:fld id="{C03C56F8-04D5-DE4C-B992-9C0A1A532C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38E-435B-B5A5-9ABCE52453A2}"/>
                </c:ext>
              </c:extLst>
            </c:dLbl>
            <c:dLbl>
              <c:idx val="10"/>
              <c:layout>
                <c:manualLayout>
                  <c:x val="9.3356665998837088E-2"/>
                  <c:y val="-3.9236208578027924E-17"/>
                </c:manualLayout>
              </c:layout>
              <c:tx>
                <c:rich>
                  <a:bodyPr/>
                  <a:lstStyle/>
                  <a:p>
                    <a:fld id="{E20F86DF-2ECD-4346-812F-4BA7F32DC0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38E-435B-B5A5-9ABCE52453A2}"/>
                </c:ext>
              </c:extLst>
            </c:dLbl>
            <c:dLbl>
              <c:idx val="11"/>
              <c:layout>
                <c:manualLayout>
                  <c:x val="4.2598915819616286E-2"/>
                  <c:y val="-1.9618104289013962E-17"/>
                </c:manualLayout>
              </c:layout>
              <c:tx>
                <c:rich>
                  <a:bodyPr/>
                  <a:lstStyle/>
                  <a:p>
                    <a:fld id="{0188BA78-E5B6-6146-A576-815BB9B33A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38E-435B-B5A5-9ABCE52453A2}"/>
                </c:ext>
              </c:extLst>
            </c:dLbl>
            <c:numFmt formatCode="_-[$£-809]* #,##0.00_-;\-[$£-809]* #,##0.00_-;_-[$£-809]* &quot;-&quot;??_-;_-@_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ValGraph!$B$34:$B$47</c:f>
              <c:strCache>
                <c:ptCount val="13"/>
                <c:pt idx="0">
                  <c:v>7.0% - 10.0% Discount Rate, 0.0% - 1.0% Terminal FCF Growth Rate:</c:v>
                </c:pt>
                <c:pt idx="1">
                  <c:v>NTM TEV / EBITDA:</c:v>
                </c:pt>
                <c:pt idx="2">
                  <c:v>NTM TEV / Revenue:</c:v>
                </c:pt>
                <c:pt idx="3">
                  <c:v>CY 24 P / E:</c:v>
                </c:pt>
                <c:pt idx="4">
                  <c:v>CY 23 P / E:</c:v>
                </c:pt>
                <c:pt idx="5">
                  <c:v>CY 22 P / E:</c:v>
                </c:pt>
                <c:pt idx="6">
                  <c:v>CY 24 TEV / EBITDA:</c:v>
                </c:pt>
                <c:pt idx="7">
                  <c:v>CY 23 TEV / EBITDA:</c:v>
                </c:pt>
                <c:pt idx="8">
                  <c:v>CY 22 TEV / EBITDA:</c:v>
                </c:pt>
                <c:pt idx="9">
                  <c:v>CY 24 TEV / Revenue:</c:v>
                </c:pt>
                <c:pt idx="10">
                  <c:v>CY 23 TEV / Revenue:</c:v>
                </c:pt>
                <c:pt idx="11">
                  <c:v>CY 22 TEV / Revenue:</c:v>
                </c:pt>
                <c:pt idx="12">
                  <c:v>Current Share Price</c:v>
                </c:pt>
              </c:strCache>
            </c:strRef>
          </c:cat>
          <c:val>
            <c:numRef>
              <c:f>ValGraph!$Q$34:$Q$45</c:f>
              <c:numCache>
                <c:formatCode>_(* #,##0.00_);_(* \(#,##0.00\);_(* "-"??_);_(@_)</c:formatCode>
                <c:ptCount val="12"/>
                <c:pt idx="0" formatCode="_-[$£-809]* #,##0.00_-;\-[$£-809]* #,##0.00_-;_-[$£-809]* &quot;-&quot;??_-;_-@_-">
                  <c:v>1.7542570556170904</c:v>
                </c:pt>
                <c:pt idx="1">
                  <c:v>4.5368343785499787</c:v>
                </c:pt>
                <c:pt idx="2">
                  <c:v>1.1686183036363631</c:v>
                </c:pt>
                <c:pt idx="3">
                  <c:v>0.41073971586105573</c:v>
                </c:pt>
                <c:pt idx="4">
                  <c:v>0.97863709130016918</c:v>
                </c:pt>
                <c:pt idx="5">
                  <c:v>0</c:v>
                </c:pt>
                <c:pt idx="6">
                  <c:v>1.2977711468217761</c:v>
                </c:pt>
                <c:pt idx="7">
                  <c:v>0.74342041685044968</c:v>
                </c:pt>
                <c:pt idx="8">
                  <c:v>1.9653905263229992</c:v>
                </c:pt>
                <c:pt idx="9">
                  <c:v>4.5868837779228997</c:v>
                </c:pt>
                <c:pt idx="10">
                  <c:v>3.2007982502143957</c:v>
                </c:pt>
                <c:pt idx="11">
                  <c:v>0.89898094579529797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ValGraph!$L$34:$L$46</c15:f>
                <c15:dlblRangeCache>
                  <c:ptCount val="13"/>
                  <c:pt idx="0">
                    <c:v> £12.75 </c:v>
                  </c:pt>
                  <c:pt idx="1">
                    <c:v> £9.19 </c:v>
                  </c:pt>
                  <c:pt idx="2">
                    <c:v> £4.69 </c:v>
                  </c:pt>
                  <c:pt idx="3">
                    <c:v> £2.54 </c:v>
                  </c:pt>
                  <c:pt idx="4">
                    <c:v> £2.69 </c:v>
                  </c:pt>
                  <c:pt idx="5">
                    <c:v> £-   </c:v>
                  </c:pt>
                  <c:pt idx="6">
                    <c:v> £6.17 </c:v>
                  </c:pt>
                  <c:pt idx="7">
                    <c:v> £6.30 </c:v>
                  </c:pt>
                  <c:pt idx="8">
                    <c:v> £5.04 </c:v>
                  </c:pt>
                  <c:pt idx="9">
                    <c:v> £13.15 </c:v>
                  </c:pt>
                  <c:pt idx="10">
                    <c:v> £12.88 </c:v>
                  </c:pt>
                  <c:pt idx="11">
                    <c:v> £11.14 </c:v>
                  </c:pt>
                  <c:pt idx="12">
                    <c:v> £4.53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8349-48D5-B9DE-E06ECA253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1019000"/>
        <c:axId val="691017080"/>
      </c:barChart>
      <c:scatterChart>
        <c:scatterStyle val="smoothMarker"/>
        <c:varyColors val="0"/>
        <c:ser>
          <c:idx val="4"/>
          <c:order val="0"/>
          <c:tx>
            <c:strRef>
              <c:f>ValGraph!$B$46</c:f>
              <c:strCache>
                <c:ptCount val="1"/>
                <c:pt idx="0">
                  <c:v>Current Share Price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ValGraph!$I$46:$M$46</c:f>
              <c:numCache>
                <c:formatCode>_-[$£-809]* #,##0.00_-;\-[$£-809]* #,##0.00_-;_-[$£-809]* "-"??_-;_-@_-</c:formatCode>
                <c:ptCount val="5"/>
                <c:pt idx="0" formatCode="_(* #,##0.00_);_(* \(#,##0.00\);_(* &quot;-&quot;??_);_(@_)">
                  <c:v>4.5309999999999997</c:v>
                </c:pt>
                <c:pt idx="1">
                  <c:v>4.5309999999999997</c:v>
                </c:pt>
                <c:pt idx="2" formatCode="_(* #,##0.00_);_(* \(#,##0.00\);_(* &quot;-&quot;??_);_(@_)">
                  <c:v>4.5309999999999997</c:v>
                </c:pt>
                <c:pt idx="3">
                  <c:v>4.5309999999999997</c:v>
                </c:pt>
                <c:pt idx="4" formatCode="_(* #,##0.00_);_(* \(#,##0.00\);_(* &quot;-&quot;??_);_(@_)">
                  <c:v>4.5309999999999997</c:v>
                </c:pt>
              </c:numCache>
            </c:numRef>
          </c:xVal>
          <c:yVal>
            <c:numRef>
              <c:f>ValGraph!$N$46:$R$46</c:f>
              <c:numCache>
                <c:formatCode>_(* #,##0.00_);_(* \(#,##0.00\);_(* "-"??_);_(@_)</c:formatCode>
                <c:ptCount val="5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349-48D5-B9DE-E06ECA253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028920"/>
        <c:axId val="691028280"/>
      </c:scatterChart>
      <c:catAx>
        <c:axId val="691019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17080"/>
        <c:crosses val="autoZero"/>
        <c:auto val="1"/>
        <c:lblAlgn val="ctr"/>
        <c:lblOffset val="100"/>
        <c:noMultiLvlLbl val="0"/>
      </c:catAx>
      <c:valAx>
        <c:axId val="69101708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19000"/>
        <c:crosses val="autoZero"/>
        <c:crossBetween val="between"/>
      </c:valAx>
      <c:valAx>
        <c:axId val="691028280"/>
        <c:scaling>
          <c:orientation val="minMax"/>
          <c:max val="1000"/>
          <c:min val="0"/>
        </c:scaling>
        <c:delete val="1"/>
        <c:axPos val="r"/>
        <c:numFmt formatCode="_(* #,##0.00_);_(* \(#,##0.00\);_(* &quot;-&quot;??_);_(@_)" sourceLinked="1"/>
        <c:majorTickMark val="out"/>
        <c:minorTickMark val="none"/>
        <c:tickLblPos val="nextTo"/>
        <c:crossAx val="691028920"/>
        <c:crosses val="max"/>
        <c:crossBetween val="midCat"/>
      </c:valAx>
      <c:valAx>
        <c:axId val="691028920"/>
        <c:scaling>
          <c:orientation val="minMax"/>
        </c:scaling>
        <c:delete val="1"/>
        <c:axPos val="b"/>
        <c:numFmt formatCode="_(* #,##0.00_);_(* \(#,##0.00\);_(* &quot;-&quot;??_);_(@_)" sourceLinked="1"/>
        <c:majorTickMark val="out"/>
        <c:minorTickMark val="none"/>
        <c:tickLblPos val="nextTo"/>
        <c:crossAx val="691028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149412</xdr:colOff>
      <xdr:row>253</xdr:row>
      <xdr:rowOff>9525</xdr:rowOff>
    </xdr:from>
    <xdr:to>
      <xdr:col>30</xdr:col>
      <xdr:colOff>429372</xdr:colOff>
      <xdr:row>275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559C3-607C-40ED-B468-9AD8881B8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14289</xdr:colOff>
      <xdr:row>276</xdr:row>
      <xdr:rowOff>95249</xdr:rowOff>
    </xdr:from>
    <xdr:to>
      <xdr:col>30</xdr:col>
      <xdr:colOff>447676</xdr:colOff>
      <xdr:row>298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06526E-13E8-42D9-ADBD-9A5257700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</xdr:row>
      <xdr:rowOff>109536</xdr:rowOff>
    </xdr:from>
    <xdr:to>
      <xdr:col>6</xdr:col>
      <xdr:colOff>523875</xdr:colOff>
      <xdr:row>16</xdr:row>
      <xdr:rowOff>156437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70B70-3DA8-4DD5-ABCE-58C80A31E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581025</xdr:colOff>
      <xdr:row>2</xdr:row>
      <xdr:rowOff>114299</xdr:rowOff>
    </xdr:from>
    <xdr:to>
      <xdr:col>12</xdr:col>
      <xdr:colOff>163804</xdr:colOff>
      <xdr:row>16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FB65DF-13F1-4915-9719-1E87B3A2A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42862</xdr:colOff>
      <xdr:row>17</xdr:row>
      <xdr:rowOff>109536</xdr:rowOff>
    </xdr:from>
    <xdr:to>
      <xdr:col>6</xdr:col>
      <xdr:colOff>523875</xdr:colOff>
      <xdr:row>31</xdr:row>
      <xdr:rowOff>140969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C972A1-CB91-4587-AFD3-033998FAF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23811</xdr:colOff>
      <xdr:row>33</xdr:row>
      <xdr:rowOff>42862</xdr:rowOff>
    </xdr:from>
    <xdr:to>
      <xdr:col>6</xdr:col>
      <xdr:colOff>507999</xdr:colOff>
      <xdr:row>47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36817F-642F-479B-8041-05E23ECC4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595312</xdr:colOff>
      <xdr:row>17</xdr:row>
      <xdr:rowOff>109536</xdr:rowOff>
    </xdr:from>
    <xdr:to>
      <xdr:col>13</xdr:col>
      <xdr:colOff>9525</xdr:colOff>
      <xdr:row>31</xdr:row>
      <xdr:rowOff>118109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17EC8A-A11A-4EDF-A79B-C7477506B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604836</xdr:colOff>
      <xdr:row>33</xdr:row>
      <xdr:rowOff>52387</xdr:rowOff>
    </xdr:from>
    <xdr:to>
      <xdr:col>13</xdr:col>
      <xdr:colOff>28574</xdr:colOff>
      <xdr:row>47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6DCFE7-6187-42E4-8063-D6E5DD7460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22913</xdr:colOff>
      <xdr:row>0</xdr:row>
      <xdr:rowOff>21078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CEC2680-E8EA-49EE-BA97-2671B2AFC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22913</xdr:colOff>
      <xdr:row>0</xdr:row>
      <xdr:rowOff>21078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4C2FF18-0B50-49F1-B4EB-0A7563FAA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22913</xdr:colOff>
      <xdr:row>0</xdr:row>
      <xdr:rowOff>21078</xdr:rowOff>
    </xdr:to>
    <xdr:graphicFrame macro="">
      <xdr:nvGraphicFramePr>
        <xdr:cNvPr id="11" name="PV Graph">
          <a:extLst>
            <a:ext uri="{FF2B5EF4-FFF2-40B4-BE49-F238E27FC236}">
              <a16:creationId xmlns:a16="http://schemas.microsoft.com/office/drawing/2014/main" id="{ADB504FF-4E24-4C09-A902-A64DC04ED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22913</xdr:colOff>
      <xdr:row>0</xdr:row>
      <xdr:rowOff>21078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7E67EB0-CC63-455F-BAEF-B6EAF610D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22913</xdr:colOff>
      <xdr:row>0</xdr:row>
      <xdr:rowOff>21078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157105E-E5B6-4225-9547-78FA8CA3B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22913</xdr:colOff>
      <xdr:row>0</xdr:row>
      <xdr:rowOff>21078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AEE39A0-06DB-4392-92F5-2EA1A4A9B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22913</xdr:colOff>
      <xdr:row>0</xdr:row>
      <xdr:rowOff>21078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9938C24-9CD9-4E2E-9977-9C45F3DE8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11</xdr:col>
      <xdr:colOff>381002</xdr:colOff>
      <xdr:row>80</xdr:row>
      <xdr:rowOff>114301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E487CF5-1EC3-4170-98F7-93033F2C7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88</xdr:row>
      <xdr:rowOff>0</xdr:rowOff>
    </xdr:from>
    <xdr:to>
      <xdr:col>11</xdr:col>
      <xdr:colOff>381002</xdr:colOff>
      <xdr:row>114</xdr:row>
      <xdr:rowOff>114301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25E5E65-519F-4F45-9BF9-B0F5B8807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214311</xdr:colOff>
      <xdr:row>0</xdr:row>
      <xdr:rowOff>152399</xdr:rowOff>
    </xdr:from>
    <xdr:to>
      <xdr:col>21</xdr:col>
      <xdr:colOff>47625</xdr:colOff>
      <xdr:row>30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5146BD-2305-4C37-AB8E-44E36374C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F1138-B702-4FDA-A506-5BCC3E13A5DC}">
  <sheetPr>
    <pageSetUpPr autoPageBreaks="0"/>
  </sheetPr>
  <dimension ref="B2:AD290"/>
  <sheetViews>
    <sheetView showGridLines="0" topLeftCell="A160" zoomScale="106" zoomScaleNormal="100" workbookViewId="0">
      <pane xSplit="3" topLeftCell="K1" activePane="topRight" state="frozen"/>
      <selection pane="topRight" activeCell="E114" sqref="E114:Q114"/>
    </sheetView>
  </sheetViews>
  <sheetFormatPr baseColWidth="10" defaultColWidth="9.1640625" defaultRowHeight="16" outlineLevelRow="1" outlineLevelCol="2" x14ac:dyDescent="0.2"/>
  <cols>
    <col min="1" max="2" width="2.6640625" style="1" customWidth="1"/>
    <col min="3" max="3" width="55.1640625" style="1" bestFit="1" customWidth="1"/>
    <col min="4" max="4" width="13" style="1" bestFit="1" customWidth="1"/>
    <col min="5" max="10" width="10.6640625" style="1" customWidth="1" outlineLevel="2"/>
    <col min="11" max="18" width="10.6640625" style="1" customWidth="1" outlineLevel="1"/>
    <col min="19" max="19" width="2.6640625" style="1" customWidth="1"/>
    <col min="20" max="27" width="10.6640625" style="1" customWidth="1" outlineLevel="1"/>
    <col min="28" max="28" width="2.6640625" style="1" customWidth="1"/>
    <col min="29" max="16384" width="9.1640625" style="1"/>
  </cols>
  <sheetData>
    <row r="2" spans="2:13" ht="19" x14ac:dyDescent="0.25">
      <c r="B2" s="64" t="str">
        <f>Company_Name&amp;" - Operating Model and Credit Analysis"</f>
        <v>easyJet plc - Operating Model and Credit Analysis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2:13" x14ac:dyDescent="0.2">
      <c r="B3" s="30" t="s">
        <v>0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5" spans="2:13" x14ac:dyDescent="0.2">
      <c r="B5" s="7" t="s">
        <v>1</v>
      </c>
      <c r="C5" s="7"/>
      <c r="D5" s="9" t="s">
        <v>2</v>
      </c>
      <c r="E5" s="9"/>
      <c r="F5" s="8"/>
      <c r="G5" s="8"/>
      <c r="H5" s="8"/>
      <c r="I5" s="8"/>
      <c r="J5" s="8"/>
      <c r="K5" s="8"/>
      <c r="L5" s="66"/>
      <c r="M5" s="30"/>
    </row>
    <row r="6" spans="2:13" outlineLevel="1" x14ac:dyDescent="0.2"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2:13" outlineLevel="1" x14ac:dyDescent="0.2">
      <c r="B7" s="30"/>
      <c r="C7" s="30" t="s">
        <v>3</v>
      </c>
      <c r="D7" s="2" t="s">
        <v>4</v>
      </c>
      <c r="E7" s="38" t="s">
        <v>5</v>
      </c>
      <c r="F7" s="30"/>
      <c r="G7" s="30"/>
      <c r="H7" s="30"/>
      <c r="I7" s="30"/>
      <c r="J7" s="30"/>
      <c r="K7" s="19" t="s">
        <v>6</v>
      </c>
      <c r="L7" s="19"/>
      <c r="M7" s="19"/>
    </row>
    <row r="8" spans="2:13" outlineLevel="1" x14ac:dyDescent="0.2">
      <c r="B8" s="30"/>
      <c r="C8" s="30" t="s">
        <v>7</v>
      </c>
      <c r="D8" s="2" t="s">
        <v>4</v>
      </c>
      <c r="E8" s="38" t="s">
        <v>8</v>
      </c>
      <c r="F8" s="30"/>
      <c r="G8" s="30"/>
      <c r="H8" s="30"/>
      <c r="I8" s="30"/>
      <c r="J8" s="30"/>
      <c r="K8" s="19" t="s">
        <v>9</v>
      </c>
      <c r="L8" s="19"/>
      <c r="M8" s="19"/>
    </row>
    <row r="9" spans="2:13" outlineLevel="1" x14ac:dyDescent="0.2">
      <c r="B9" s="30"/>
      <c r="C9" t="s">
        <v>10</v>
      </c>
      <c r="D9" s="2" t="s">
        <v>11</v>
      </c>
      <c r="E9" s="18">
        <v>100</v>
      </c>
      <c r="F9" s="30"/>
      <c r="G9" s="30"/>
      <c r="H9" s="30"/>
      <c r="I9" s="30"/>
      <c r="J9" s="30"/>
      <c r="K9" s="30"/>
      <c r="L9" s="30"/>
      <c r="M9" s="30"/>
    </row>
    <row r="10" spans="2:13" outlineLevel="1" x14ac:dyDescent="0.2">
      <c r="B10" s="30"/>
      <c r="C10" s="30" t="s">
        <v>12</v>
      </c>
      <c r="D10" s="2" t="s">
        <v>13</v>
      </c>
      <c r="E10" s="38">
        <v>1</v>
      </c>
      <c r="F10" s="30"/>
      <c r="G10" s="30"/>
      <c r="H10" s="30"/>
      <c r="I10" s="30"/>
      <c r="J10" s="30"/>
      <c r="K10" s="30"/>
      <c r="L10" s="30"/>
      <c r="M10" s="30"/>
    </row>
    <row r="11" spans="2:13" outlineLevel="1" x14ac:dyDescent="0.2">
      <c r="B11" s="30"/>
      <c r="C11" s="30" t="s">
        <v>14</v>
      </c>
      <c r="D11" s="2" t="s">
        <v>4</v>
      </c>
      <c r="E11" s="30" t="s">
        <v>15</v>
      </c>
      <c r="F11" s="30"/>
      <c r="G11" s="30"/>
      <c r="H11" s="30"/>
      <c r="I11" s="30"/>
      <c r="J11" s="30"/>
      <c r="K11" s="30"/>
      <c r="L11" s="30"/>
      <c r="M11" s="30"/>
    </row>
    <row r="12" spans="2:13" outlineLevel="1" x14ac:dyDescent="0.2"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</row>
    <row r="13" spans="2:13" outlineLevel="1" x14ac:dyDescent="0.2">
      <c r="B13" s="30"/>
      <c r="C13" s="30" t="s">
        <v>16</v>
      </c>
      <c r="D13" s="2" t="s">
        <v>17</v>
      </c>
      <c r="E13" s="424">
        <f t="shared" ref="E13" si="0">INDEX(E14:E16,MATCH(Scenario,$C14:$C16,0),1)</f>
        <v>0</v>
      </c>
      <c r="F13" s="30"/>
      <c r="G13" s="30"/>
      <c r="H13" s="30"/>
      <c r="I13" s="30"/>
      <c r="J13" s="30"/>
      <c r="K13" s="30"/>
      <c r="L13" s="30"/>
      <c r="M13" s="30"/>
    </row>
    <row r="14" spans="2:13" outlineLevel="1" x14ac:dyDescent="0.2">
      <c r="B14" s="30"/>
      <c r="C14" s="31" t="str">
        <f>$C$31</f>
        <v>Base</v>
      </c>
      <c r="D14" s="2" t="s">
        <v>17</v>
      </c>
      <c r="E14" s="78"/>
      <c r="F14" s="30"/>
      <c r="G14" s="30"/>
      <c r="H14" s="30"/>
      <c r="I14" s="30"/>
      <c r="J14" s="30"/>
      <c r="K14" s="30"/>
      <c r="L14" s="30"/>
      <c r="M14" s="30"/>
    </row>
    <row r="15" spans="2:13" outlineLevel="1" x14ac:dyDescent="0.2">
      <c r="B15" s="30"/>
      <c r="C15" s="31" t="str">
        <f>$C$32</f>
        <v>Downside</v>
      </c>
      <c r="D15" s="2" t="s">
        <v>17</v>
      </c>
      <c r="E15" s="78">
        <v>6</v>
      </c>
      <c r="F15" s="30"/>
      <c r="G15" s="30"/>
      <c r="H15" s="30"/>
      <c r="I15" s="30"/>
      <c r="J15" s="30"/>
      <c r="K15" s="30"/>
      <c r="L15" s="30"/>
      <c r="M15" s="30"/>
    </row>
    <row r="16" spans="2:13" outlineLevel="1" x14ac:dyDescent="0.2">
      <c r="B16" s="30"/>
      <c r="C16" s="31" t="str">
        <f>$C$33</f>
        <v>XT Downside</v>
      </c>
      <c r="D16" s="2" t="s">
        <v>17</v>
      </c>
      <c r="E16" s="78">
        <v>7</v>
      </c>
      <c r="F16" s="30"/>
      <c r="G16" s="30"/>
      <c r="H16" s="30"/>
      <c r="I16" s="30"/>
      <c r="J16" s="30"/>
      <c r="K16" s="30"/>
      <c r="L16" s="30"/>
      <c r="M16" s="30"/>
    </row>
    <row r="17" spans="2:30" outlineLevel="1" x14ac:dyDescent="0.2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2:30" outlineLevel="1" x14ac:dyDescent="0.2">
      <c r="B18" s="30"/>
      <c r="C18" s="30" t="s">
        <v>18</v>
      </c>
      <c r="D18" s="2" t="s">
        <v>13</v>
      </c>
      <c r="E18" s="425">
        <f t="shared" ref="E18" si="1">INDEX(E19:E21,MATCH(Scenario,$C19:$C21,0),1)</f>
        <v>0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spans="2:30" outlineLevel="1" x14ac:dyDescent="0.2">
      <c r="B19" s="30"/>
      <c r="C19" s="31" t="str">
        <f>$C$31</f>
        <v>Base</v>
      </c>
      <c r="D19" s="2" t="s">
        <v>13</v>
      </c>
      <c r="E19" s="388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2:30" outlineLevel="1" x14ac:dyDescent="0.2">
      <c r="B20" s="30"/>
      <c r="C20" s="31" t="str">
        <f>$C$32</f>
        <v>Downside</v>
      </c>
      <c r="D20" s="2" t="s">
        <v>13</v>
      </c>
      <c r="E20" s="388">
        <v>0.6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spans="2:30" outlineLevel="1" x14ac:dyDescent="0.2">
      <c r="B21" s="30"/>
      <c r="C21" s="31" t="str">
        <f>$C$33</f>
        <v>XT Downside</v>
      </c>
      <c r="D21" s="2" t="s">
        <v>13</v>
      </c>
      <c r="E21" s="388">
        <v>0.7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spans="2:30" outlineLevel="1" x14ac:dyDescent="0.2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spans="2:30" outlineLevel="1" x14ac:dyDescent="0.2">
      <c r="B23" s="30"/>
      <c r="C23" s="19" t="s">
        <v>19</v>
      </c>
      <c r="D23" s="2" t="s">
        <v>20</v>
      </c>
      <c r="E23" s="58">
        <f>YEAR(E26)</f>
        <v>2019</v>
      </c>
      <c r="F23" s="58">
        <f t="shared" ref="F23:AA23" si="2">YEAR(F26)</f>
        <v>2019</v>
      </c>
      <c r="G23" s="58">
        <f t="shared" si="2"/>
        <v>2020</v>
      </c>
      <c r="H23" s="58">
        <f t="shared" si="2"/>
        <v>2020</v>
      </c>
      <c r="I23" s="58">
        <f t="shared" si="2"/>
        <v>2021</v>
      </c>
      <c r="J23" s="58">
        <f t="shared" si="2"/>
        <v>2021</v>
      </c>
      <c r="K23" s="58">
        <f t="shared" si="2"/>
        <v>2022</v>
      </c>
      <c r="L23" s="58">
        <f t="shared" si="2"/>
        <v>2022</v>
      </c>
      <c r="M23" s="58">
        <f t="shared" si="2"/>
        <v>2023</v>
      </c>
      <c r="N23" s="58">
        <f t="shared" si="2"/>
        <v>2023</v>
      </c>
      <c r="O23" s="58">
        <f t="shared" si="2"/>
        <v>2024</v>
      </c>
      <c r="P23" s="58">
        <f t="shared" si="2"/>
        <v>2024</v>
      </c>
      <c r="Q23" s="58">
        <f t="shared" si="2"/>
        <v>2025</v>
      </c>
      <c r="R23" s="58">
        <f t="shared" si="2"/>
        <v>2026</v>
      </c>
      <c r="S23" s="30"/>
      <c r="T23" s="58">
        <f t="shared" si="2"/>
        <v>2019</v>
      </c>
      <c r="U23" s="58">
        <f t="shared" si="2"/>
        <v>2020</v>
      </c>
      <c r="V23" s="58">
        <f t="shared" si="2"/>
        <v>2021</v>
      </c>
      <c r="W23" s="58">
        <f t="shared" si="2"/>
        <v>2022</v>
      </c>
      <c r="X23" s="58">
        <f t="shared" si="2"/>
        <v>2023</v>
      </c>
      <c r="Y23" s="58">
        <f t="shared" si="2"/>
        <v>2024</v>
      </c>
      <c r="Z23" s="58">
        <f t="shared" si="2"/>
        <v>2025</v>
      </c>
      <c r="AA23" s="58">
        <f t="shared" si="2"/>
        <v>2026</v>
      </c>
      <c r="AB23" s="30"/>
      <c r="AC23" s="30"/>
      <c r="AD23" s="30"/>
    </row>
    <row r="24" spans="2:30" x14ac:dyDescent="0.2"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spans="2:30" x14ac:dyDescent="0.2">
      <c r="B25" s="6"/>
      <c r="C25" s="6"/>
      <c r="D25" s="6"/>
      <c r="E25" s="12" t="str">
        <f ca="1">$E$25</f>
        <v>Historical (Half-Years):</v>
      </c>
      <c r="F25" s="14"/>
      <c r="G25" s="14"/>
      <c r="H25" s="14"/>
      <c r="I25" s="14"/>
      <c r="J25" s="14"/>
      <c r="K25" s="15"/>
      <c r="L25" s="411"/>
      <c r="M25" s="14"/>
      <c r="N25" s="14"/>
      <c r="O25" s="14"/>
      <c r="P25" s="15"/>
      <c r="Q25" s="12" t="s">
        <v>21</v>
      </c>
      <c r="R25" s="14"/>
      <c r="S25" s="30"/>
      <c r="T25" s="12" t="s">
        <v>22</v>
      </c>
      <c r="U25" s="14"/>
      <c r="V25" s="15"/>
      <c r="W25" s="412"/>
      <c r="X25" s="14"/>
      <c r="Y25" s="14"/>
      <c r="Z25" s="401" t="str">
        <f>$Q$25</f>
        <v>Projected (Annual):</v>
      </c>
      <c r="AA25" s="12"/>
      <c r="AB25" s="30"/>
      <c r="AC25" s="30"/>
      <c r="AD25" s="30"/>
    </row>
    <row r="26" spans="2:30" x14ac:dyDescent="0.2">
      <c r="B26" s="7" t="s">
        <v>23</v>
      </c>
      <c r="C26" s="8"/>
      <c r="D26" s="9" t="str">
        <f>$D$5</f>
        <v>Units:</v>
      </c>
      <c r="E26" s="13">
        <v>43555</v>
      </c>
      <c r="F26" s="16">
        <f>EOMONTH(E26,6)</f>
        <v>43738</v>
      </c>
      <c r="G26" s="13">
        <f t="shared" ref="G26:K26" si="3">EOMONTH(F26,6)</f>
        <v>43921</v>
      </c>
      <c r="H26" s="16">
        <f t="shared" si="3"/>
        <v>44104</v>
      </c>
      <c r="I26" s="13">
        <f t="shared" si="3"/>
        <v>44286</v>
      </c>
      <c r="J26" s="16">
        <f t="shared" si="3"/>
        <v>44469</v>
      </c>
      <c r="K26" s="409">
        <f t="shared" si="3"/>
        <v>44651</v>
      </c>
      <c r="L26" s="410">
        <f t="shared" ref="L26" si="4">EOMONTH(K26,6)</f>
        <v>44834</v>
      </c>
      <c r="M26" s="13">
        <f t="shared" ref="M26" si="5">EOMONTH(L26,6)</f>
        <v>45016</v>
      </c>
      <c r="N26" s="16">
        <f t="shared" ref="N26" si="6">EOMONTH(M26,6)</f>
        <v>45199</v>
      </c>
      <c r="O26" s="13">
        <f t="shared" ref="O26" si="7">EOMONTH(N26,6)</f>
        <v>45382</v>
      </c>
      <c r="P26" s="65">
        <f t="shared" ref="P26" si="8">EOMONTH(O26,6)</f>
        <v>45565</v>
      </c>
      <c r="Q26" s="37">
        <f>EOMONTH(P26,12)</f>
        <v>45930</v>
      </c>
      <c r="R26" s="37">
        <f>EOMONTH(Q26,12)</f>
        <v>46295</v>
      </c>
      <c r="S26" s="30"/>
      <c r="T26" s="37">
        <f>F26</f>
        <v>43738</v>
      </c>
      <c r="U26" s="37">
        <f>EOMONTH(T26,12)</f>
        <v>44104</v>
      </c>
      <c r="V26" s="37">
        <f t="shared" ref="V26:AA26" si="9">EOMONTH(U26,12)</f>
        <v>44469</v>
      </c>
      <c r="W26" s="414">
        <f t="shared" si="9"/>
        <v>44834</v>
      </c>
      <c r="X26" s="37">
        <f t="shared" si="9"/>
        <v>45199</v>
      </c>
      <c r="Y26" s="37">
        <f t="shared" si="9"/>
        <v>45565</v>
      </c>
      <c r="Z26" s="67">
        <f t="shared" si="9"/>
        <v>45930</v>
      </c>
      <c r="AA26" s="37">
        <f t="shared" si="9"/>
        <v>46295</v>
      </c>
      <c r="AB26" s="30"/>
      <c r="AC26" s="30"/>
      <c r="AD26" s="30"/>
    </row>
    <row r="27" spans="2:30" x14ac:dyDescent="0.2">
      <c r="B27" s="10" t="s">
        <v>24</v>
      </c>
      <c r="C27" s="11"/>
      <c r="D27" s="11"/>
      <c r="E27" s="11"/>
      <c r="F27" s="11"/>
      <c r="G27" s="11"/>
      <c r="H27" s="11"/>
      <c r="I27" s="11"/>
      <c r="J27" s="11"/>
      <c r="K27" s="11"/>
      <c r="L27" s="400"/>
      <c r="M27" s="11"/>
      <c r="N27" s="11"/>
      <c r="O27" s="11"/>
      <c r="P27" s="11"/>
      <c r="Q27" s="11"/>
      <c r="R27" s="11"/>
      <c r="S27" s="30"/>
      <c r="T27" s="11"/>
      <c r="U27" s="11"/>
      <c r="V27" s="11"/>
      <c r="W27" s="413"/>
      <c r="X27" s="11"/>
      <c r="Y27" s="11"/>
      <c r="Z27" s="11"/>
      <c r="AA27" s="11"/>
      <c r="AB27" s="30"/>
      <c r="AC27" s="30"/>
      <c r="AD27" s="30"/>
    </row>
    <row r="28" spans="2:30" outlineLevel="1" x14ac:dyDescent="0.2">
      <c r="B28" s="30"/>
      <c r="C28" s="30"/>
      <c r="D28" s="30"/>
      <c r="E28" s="426"/>
      <c r="F28" s="426"/>
      <c r="G28" s="30"/>
      <c r="H28" s="30"/>
      <c r="I28" s="426"/>
      <c r="J28" s="30"/>
      <c r="K28" s="426"/>
      <c r="L28" s="30"/>
      <c r="M28" s="426"/>
      <c r="N28" s="30"/>
      <c r="O28" s="426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spans="2:30" outlineLevel="1" x14ac:dyDescent="0.2">
      <c r="B29" s="30"/>
      <c r="C29" s="30" t="s">
        <v>25</v>
      </c>
      <c r="D29" s="2" t="s">
        <v>26</v>
      </c>
      <c r="E29" s="3">
        <v>49367</v>
      </c>
      <c r="F29" s="3">
        <v>66689</v>
      </c>
      <c r="G29" s="3">
        <v>46753</v>
      </c>
      <c r="H29" s="3">
        <v>16077</v>
      </c>
      <c r="I29" s="3">
        <v>8088</v>
      </c>
      <c r="J29" s="3">
        <f>33348-I29</f>
        <v>25260</v>
      </c>
      <c r="K29" s="3">
        <v>34287</v>
      </c>
      <c r="L29" s="39">
        <f>J29*(1+L30)</f>
        <v>47994</v>
      </c>
      <c r="M29" s="39">
        <f t="shared" ref="M29:P29" si="10">K29*(1+M30)</f>
        <v>48001.799999999996</v>
      </c>
      <c r="N29" s="39">
        <f t="shared" si="10"/>
        <v>67191.599999999991</v>
      </c>
      <c r="O29" s="39">
        <f t="shared" si="10"/>
        <v>57602.159999999996</v>
      </c>
      <c r="P29" s="39">
        <f t="shared" si="10"/>
        <v>77270.339999999982</v>
      </c>
      <c r="Q29" s="39">
        <f>SUM(O29:P29)*(1+Q30)</f>
        <v>155103.37499999994</v>
      </c>
      <c r="R29" s="39">
        <f>Q29*(1+R30)</f>
        <v>174491.29687499994</v>
      </c>
      <c r="S29" s="30"/>
      <c r="T29" s="39">
        <f>SUMIF($E$23:$R$23,T$23,$E29:$R29)</f>
        <v>116056</v>
      </c>
      <c r="U29" s="39">
        <f t="shared" ref="U29:AA29" si="11">SUMIF($E$23:$R$23,U$23,$E29:$R29)</f>
        <v>62830</v>
      </c>
      <c r="V29" s="39">
        <f t="shared" si="11"/>
        <v>33348</v>
      </c>
      <c r="W29" s="39">
        <f t="shared" si="11"/>
        <v>82281</v>
      </c>
      <c r="X29" s="39">
        <f t="shared" si="11"/>
        <v>115193.4</v>
      </c>
      <c r="Y29" s="39">
        <f t="shared" si="11"/>
        <v>134872.49999999997</v>
      </c>
      <c r="Z29" s="39">
        <f t="shared" si="11"/>
        <v>155103.37499999994</v>
      </c>
      <c r="AA29" s="39">
        <f t="shared" si="11"/>
        <v>174491.29687499994</v>
      </c>
      <c r="AB29" s="30"/>
      <c r="AC29" s="30"/>
      <c r="AD29" s="30"/>
    </row>
    <row r="30" spans="2:30" outlineLevel="1" x14ac:dyDescent="0.2">
      <c r="B30" s="30"/>
      <c r="C30" s="31" t="s">
        <v>27</v>
      </c>
      <c r="D30" s="2" t="s">
        <v>13</v>
      </c>
      <c r="E30" s="427"/>
      <c r="F30" s="427"/>
      <c r="G30" s="427">
        <f>G29/E29-1</f>
        <v>-5.2950351449348787E-2</v>
      </c>
      <c r="H30" s="427">
        <f t="shared" ref="H30:K30" si="12">H29/F29-1</f>
        <v>-0.75892575987044342</v>
      </c>
      <c r="I30" s="427">
        <f t="shared" si="12"/>
        <v>-0.82700575364147755</v>
      </c>
      <c r="J30" s="427">
        <f t="shared" si="12"/>
        <v>0.57118865459973867</v>
      </c>
      <c r="K30" s="427">
        <f t="shared" si="12"/>
        <v>3.2392433234421363</v>
      </c>
      <c r="L30" s="425">
        <f t="shared" ref="L30:R30" si="13">INDEX(L31:L33,MATCH(Scenario,$C31:$C33,0),1)</f>
        <v>0.9</v>
      </c>
      <c r="M30" s="425">
        <f t="shared" si="13"/>
        <v>0.4</v>
      </c>
      <c r="N30" s="425">
        <f t="shared" si="13"/>
        <v>0.4</v>
      </c>
      <c r="O30" s="425">
        <f t="shared" si="13"/>
        <v>0.2</v>
      </c>
      <c r="P30" s="425">
        <f t="shared" si="13"/>
        <v>0.15</v>
      </c>
      <c r="Q30" s="425">
        <f t="shared" si="13"/>
        <v>0.15</v>
      </c>
      <c r="R30" s="425">
        <f t="shared" si="13"/>
        <v>0.125</v>
      </c>
      <c r="S30" s="30"/>
      <c r="T30" s="30"/>
      <c r="U30" s="427">
        <f>U29/T29-1</f>
        <v>-0.45862342317501892</v>
      </c>
      <c r="V30" s="427">
        <f t="shared" ref="V30:AA30" si="14">V29/U29-1</f>
        <v>-0.46923444214547194</v>
      </c>
      <c r="W30" s="427">
        <f t="shared" si="14"/>
        <v>1.4673443684778698</v>
      </c>
      <c r="X30" s="427">
        <f t="shared" si="14"/>
        <v>0.39999999999999991</v>
      </c>
      <c r="Y30" s="427">
        <f t="shared" si="14"/>
        <v>0.17083530827286952</v>
      </c>
      <c r="Z30" s="427">
        <f t="shared" si="14"/>
        <v>0.14999999999999991</v>
      </c>
      <c r="AA30" s="427">
        <f t="shared" si="14"/>
        <v>0.125</v>
      </c>
      <c r="AB30" s="30"/>
      <c r="AC30" s="30"/>
      <c r="AD30" s="30"/>
    </row>
    <row r="31" spans="2:30" outlineLevel="1" x14ac:dyDescent="0.2">
      <c r="B31" s="30"/>
      <c r="C31" s="61" t="s">
        <v>28</v>
      </c>
      <c r="D31" s="2" t="s">
        <v>13</v>
      </c>
      <c r="E31" s="30"/>
      <c r="F31" s="30"/>
      <c r="G31" s="30"/>
      <c r="H31" s="30"/>
      <c r="I31" s="30"/>
      <c r="J31" s="30"/>
      <c r="K31" s="30"/>
      <c r="L31" s="38">
        <v>0.9</v>
      </c>
      <c r="M31" s="38">
        <v>0.4</v>
      </c>
      <c r="N31" s="38">
        <v>0.4</v>
      </c>
      <c r="O31" s="38">
        <v>0.2</v>
      </c>
      <c r="P31" s="38">
        <v>0.15</v>
      </c>
      <c r="Q31" s="38">
        <v>0.15</v>
      </c>
      <c r="R31" s="38">
        <v>0.125</v>
      </c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spans="2:30" outlineLevel="1" x14ac:dyDescent="0.2">
      <c r="B32" s="30"/>
      <c r="C32" s="61" t="s">
        <v>29</v>
      </c>
      <c r="D32" s="2" t="s">
        <v>13</v>
      </c>
      <c r="E32" s="30"/>
      <c r="F32" s="30"/>
      <c r="G32" s="30"/>
      <c r="H32" s="30"/>
      <c r="I32" s="30"/>
      <c r="J32" s="30"/>
      <c r="K32" s="30"/>
      <c r="L32" s="38">
        <v>0.4</v>
      </c>
      <c r="M32" s="38">
        <v>0.35</v>
      </c>
      <c r="N32" s="38">
        <v>0.3</v>
      </c>
      <c r="O32" s="38">
        <v>0.25</v>
      </c>
      <c r="P32" s="38">
        <v>0.25</v>
      </c>
      <c r="Q32" s="38">
        <v>0.17499999999999999</v>
      </c>
      <c r="R32" s="38">
        <v>0.125</v>
      </c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spans="3:30" outlineLevel="1" x14ac:dyDescent="0.2">
      <c r="C33" s="61" t="s">
        <v>30</v>
      </c>
      <c r="D33" s="2" t="s">
        <v>13</v>
      </c>
      <c r="E33" s="30"/>
      <c r="F33" s="30"/>
      <c r="G33" s="30"/>
      <c r="H33" s="30"/>
      <c r="I33" s="30"/>
      <c r="J33" s="30"/>
      <c r="K33" s="30"/>
      <c r="L33" s="38">
        <v>0.3</v>
      </c>
      <c r="M33" s="38">
        <v>0.3</v>
      </c>
      <c r="N33" s="38">
        <v>0.25</v>
      </c>
      <c r="O33" s="38">
        <v>0.2</v>
      </c>
      <c r="P33" s="38">
        <v>0.15</v>
      </c>
      <c r="Q33" s="38">
        <v>0.125</v>
      </c>
      <c r="R33" s="38">
        <v>0.1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spans="3:30" outlineLevel="1" x14ac:dyDescent="0.2"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3:30" outlineLevel="1" x14ac:dyDescent="0.2">
      <c r="C35" s="30" t="s">
        <v>31</v>
      </c>
      <c r="D35" s="2" t="s">
        <v>13</v>
      </c>
      <c r="E35" s="427">
        <f t="shared" ref="E35:H35" si="15">E40/E29</f>
        <v>0.91338343427795898</v>
      </c>
      <c r="F35" s="427">
        <f t="shared" si="15"/>
        <v>0.93943528917812535</v>
      </c>
      <c r="G35" s="427">
        <f t="shared" si="15"/>
        <v>0.91801595619532439</v>
      </c>
      <c r="H35" s="427">
        <f t="shared" si="15"/>
        <v>0.99483734527585987</v>
      </c>
      <c r="I35" s="427">
        <f>I40/I29</f>
        <v>0.63501483679525228</v>
      </c>
      <c r="J35" s="427">
        <f>J40/J29</f>
        <v>0.73072050673000788</v>
      </c>
      <c r="K35" s="427">
        <f>K40/K29</f>
        <v>0.78195817656837874</v>
      </c>
      <c r="L35" s="425">
        <f t="shared" ref="L35:R35" si="16">INDEX(L36:L38,MATCH(Scenario,$C36:$C38,0),1)</f>
        <v>0.85</v>
      </c>
      <c r="M35" s="425">
        <f t="shared" si="16"/>
        <v>0.87</v>
      </c>
      <c r="N35" s="425">
        <f t="shared" si="16"/>
        <v>0.9</v>
      </c>
      <c r="O35" s="425">
        <f t="shared" si="16"/>
        <v>0.91</v>
      </c>
      <c r="P35" s="425">
        <f t="shared" si="16"/>
        <v>0.92</v>
      </c>
      <c r="Q35" s="425">
        <f t="shared" si="16"/>
        <v>0.92500000000000004</v>
      </c>
      <c r="R35" s="425">
        <f t="shared" si="16"/>
        <v>0.92500000000000004</v>
      </c>
      <c r="S35" s="30"/>
      <c r="T35" s="427">
        <f>T40/T29</f>
        <v>0.92835355345695181</v>
      </c>
      <c r="U35" s="427">
        <f t="shared" ref="U35:AA35" si="17">U40/U29</f>
        <v>0.93767308610536371</v>
      </c>
      <c r="V35" s="427">
        <f t="shared" si="17"/>
        <v>0.70750869617368362</v>
      </c>
      <c r="W35" s="427">
        <f t="shared" si="17"/>
        <v>0.82164655266707987</v>
      </c>
      <c r="X35" s="427">
        <f t="shared" si="17"/>
        <v>0.88749881503627814</v>
      </c>
      <c r="Y35" s="427">
        <f t="shared" si="17"/>
        <v>0.91572913974309067</v>
      </c>
      <c r="Z35" s="427">
        <f t="shared" si="17"/>
        <v>0.92500000000000004</v>
      </c>
      <c r="AA35" s="427">
        <f t="shared" si="17"/>
        <v>0.92500000000000004</v>
      </c>
      <c r="AB35" s="30"/>
      <c r="AC35" s="30"/>
      <c r="AD35" s="30"/>
    </row>
    <row r="36" spans="3:30" outlineLevel="1" x14ac:dyDescent="0.2">
      <c r="C36" s="31" t="str">
        <f>$C$31</f>
        <v>Base</v>
      </c>
      <c r="D36" s="2" t="s">
        <v>13</v>
      </c>
      <c r="E36" s="30"/>
      <c r="F36" s="427"/>
      <c r="G36" s="30"/>
      <c r="H36" s="30"/>
      <c r="I36" s="30"/>
      <c r="J36" s="30"/>
      <c r="K36" s="30"/>
      <c r="L36" s="38">
        <v>0.85</v>
      </c>
      <c r="M36" s="38">
        <v>0.87</v>
      </c>
      <c r="N36" s="38">
        <v>0.9</v>
      </c>
      <c r="O36" s="38">
        <v>0.91</v>
      </c>
      <c r="P36" s="38">
        <v>0.92</v>
      </c>
      <c r="Q36" s="38">
        <v>0.92500000000000004</v>
      </c>
      <c r="R36" s="38">
        <v>0.92500000000000004</v>
      </c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spans="3:30" outlineLevel="1" x14ac:dyDescent="0.2">
      <c r="C37" s="31" t="str">
        <f>$C$32</f>
        <v>Downside</v>
      </c>
      <c r="D37" s="2" t="s">
        <v>13</v>
      </c>
      <c r="E37" s="30"/>
      <c r="F37" s="427"/>
      <c r="G37" s="30"/>
      <c r="H37" s="30"/>
      <c r="I37" s="30"/>
      <c r="J37" s="30"/>
      <c r="K37" s="30"/>
      <c r="L37" s="38">
        <v>0.85</v>
      </c>
      <c r="M37" s="38">
        <v>0.86</v>
      </c>
      <c r="N37" s="38">
        <v>0.88</v>
      </c>
      <c r="O37" s="38">
        <v>0.9</v>
      </c>
      <c r="P37" s="38">
        <v>0.91</v>
      </c>
      <c r="Q37" s="38">
        <v>0.92</v>
      </c>
      <c r="R37" s="38">
        <v>0.92</v>
      </c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spans="3:30" outlineLevel="1" x14ac:dyDescent="0.2">
      <c r="C38" s="31" t="str">
        <f>$C$33</f>
        <v>XT Downside</v>
      </c>
      <c r="D38" s="2" t="s">
        <v>13</v>
      </c>
      <c r="E38" s="30"/>
      <c r="F38" s="427"/>
      <c r="G38" s="30"/>
      <c r="H38" s="30"/>
      <c r="I38" s="30"/>
      <c r="J38" s="30"/>
      <c r="K38" s="30"/>
      <c r="L38" s="38">
        <v>0.85</v>
      </c>
      <c r="M38" s="38">
        <v>0.85499999999999998</v>
      </c>
      <c r="N38" s="38">
        <v>0.87</v>
      </c>
      <c r="O38" s="38">
        <v>0.88</v>
      </c>
      <c r="P38" s="38">
        <v>0.89</v>
      </c>
      <c r="Q38" s="38">
        <v>0.9</v>
      </c>
      <c r="R38" s="38">
        <v>0.91</v>
      </c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spans="3:30" outlineLevel="1" x14ac:dyDescent="0.2">
      <c r="C39" s="30"/>
      <c r="D39" s="30"/>
      <c r="E39" s="30"/>
      <c r="F39" s="427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spans="3:30" outlineLevel="1" x14ac:dyDescent="0.2">
      <c r="C40" s="30" t="s">
        <v>32</v>
      </c>
      <c r="D40" s="2" t="s">
        <v>26</v>
      </c>
      <c r="E40" s="3">
        <v>45091</v>
      </c>
      <c r="F40" s="3">
        <v>62650</v>
      </c>
      <c r="G40" s="3">
        <v>42920</v>
      </c>
      <c r="H40" s="3">
        <v>15994</v>
      </c>
      <c r="I40" s="3">
        <v>5136</v>
      </c>
      <c r="J40" s="3">
        <f>23594-I40</f>
        <v>18458</v>
      </c>
      <c r="K40" s="3">
        <v>26811</v>
      </c>
      <c r="L40" s="39">
        <f>L29*L35</f>
        <v>40794.9</v>
      </c>
      <c r="M40" s="39">
        <f t="shared" ref="M40:R40" si="18">M29*M35</f>
        <v>41761.565999999999</v>
      </c>
      <c r="N40" s="39">
        <f t="shared" si="18"/>
        <v>60472.439999999995</v>
      </c>
      <c r="O40" s="39">
        <f t="shared" si="18"/>
        <v>52417.965599999996</v>
      </c>
      <c r="P40" s="39">
        <f t="shared" si="18"/>
        <v>71088.712799999979</v>
      </c>
      <c r="Q40" s="39">
        <f t="shared" si="18"/>
        <v>143470.62187499995</v>
      </c>
      <c r="R40" s="39">
        <f t="shared" si="18"/>
        <v>161404.44960937495</v>
      </c>
      <c r="S40" s="30"/>
      <c r="T40" s="39">
        <f>SUMIF($E$23:$R$23,T$23,$E40:$R40)</f>
        <v>107741</v>
      </c>
      <c r="U40" s="39">
        <f t="shared" ref="U40:AA40" si="19">SUMIF($E$23:$R$23,U$23,$E40:$R40)</f>
        <v>58914</v>
      </c>
      <c r="V40" s="39">
        <f t="shared" si="19"/>
        <v>23594</v>
      </c>
      <c r="W40" s="39">
        <f t="shared" si="19"/>
        <v>67605.899999999994</v>
      </c>
      <c r="X40" s="39">
        <f t="shared" si="19"/>
        <v>102234.00599999999</v>
      </c>
      <c r="Y40" s="39">
        <f t="shared" si="19"/>
        <v>123506.67839999998</v>
      </c>
      <c r="Z40" s="39">
        <f t="shared" si="19"/>
        <v>143470.62187499995</v>
      </c>
      <c r="AA40" s="39">
        <f t="shared" si="19"/>
        <v>161404.44960937495</v>
      </c>
      <c r="AB40" s="30"/>
      <c r="AC40" s="30"/>
      <c r="AD40" s="30"/>
    </row>
    <row r="41" spans="3:30" outlineLevel="1" x14ac:dyDescent="0.2">
      <c r="C41" s="31" t="s">
        <v>33</v>
      </c>
      <c r="D41" s="2" t="s">
        <v>13</v>
      </c>
      <c r="E41" s="427"/>
      <c r="F41" s="427"/>
      <c r="G41" s="427">
        <f>G40/E40-1</f>
        <v>-4.8147080348628357E-2</v>
      </c>
      <c r="H41" s="427">
        <f t="shared" ref="H41" si="20">H40/F40-1</f>
        <v>-0.74470869912210702</v>
      </c>
      <c r="I41" s="427">
        <f t="shared" ref="I41" si="21">I40/G40-1</f>
        <v>-0.88033550792171478</v>
      </c>
      <c r="J41" s="427">
        <f t="shared" ref="J41" si="22">J40/H40-1</f>
        <v>0.15405777166437407</v>
      </c>
      <c r="K41" s="427">
        <f t="shared" ref="K41:L41" si="23">K40/I40-1</f>
        <v>4.2202102803738315</v>
      </c>
      <c r="L41" s="427">
        <f t="shared" si="23"/>
        <v>1.2101473615776359</v>
      </c>
      <c r="M41" s="427">
        <f t="shared" ref="M41" si="24">M40/K40-1</f>
        <v>0.55762806310842561</v>
      </c>
      <c r="N41" s="427">
        <f t="shared" ref="N41" si="25">N40/L40-1</f>
        <v>0.48235294117647043</v>
      </c>
      <c r="O41" s="427">
        <f t="shared" ref="O41" si="26">O40/M40-1</f>
        <v>0.25517241379310329</v>
      </c>
      <c r="P41" s="427">
        <f t="shared" ref="P41" si="27">P40/N40-1</f>
        <v>0.17555555555555524</v>
      </c>
      <c r="Q41" s="427">
        <f>Q40/SUM(O40:P40)-1</f>
        <v>0.16164262316522615</v>
      </c>
      <c r="R41" s="427">
        <f>R40/Q40-1</f>
        <v>0.125</v>
      </c>
      <c r="S41" s="30"/>
      <c r="T41" s="30"/>
      <c r="U41" s="427">
        <f>U40/T40-1</f>
        <v>-0.4531886654105679</v>
      </c>
      <c r="V41" s="427">
        <f t="shared" ref="V41" si="28">V40/U40-1</f>
        <v>-0.59951794140611736</v>
      </c>
      <c r="W41" s="427">
        <f t="shared" ref="W41" si="29">W40/V40-1</f>
        <v>1.8653852674408746</v>
      </c>
      <c r="X41" s="427">
        <f t="shared" ref="X41" si="30">X40/W40-1</f>
        <v>0.51220538444129882</v>
      </c>
      <c r="Y41" s="427">
        <f t="shared" ref="Y41" si="31">Y40/X40-1</f>
        <v>0.20807824355430204</v>
      </c>
      <c r="Z41" s="427">
        <f t="shared" ref="Z41" si="32">Z40/Y40-1</f>
        <v>0.16164262316522615</v>
      </c>
      <c r="AA41" s="427">
        <f t="shared" ref="AA41" si="33">AA40/Z40-1</f>
        <v>0.125</v>
      </c>
      <c r="AB41" s="30"/>
      <c r="AC41" s="30"/>
      <c r="AD41" s="30"/>
    </row>
    <row r="42" spans="3:30" outlineLevel="1" x14ac:dyDescent="0.2"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428"/>
      <c r="AB42" s="30"/>
      <c r="AC42" s="30"/>
      <c r="AD42" s="30"/>
    </row>
    <row r="43" spans="3:30" outlineLevel="1" x14ac:dyDescent="0.2">
      <c r="C43" s="30" t="s">
        <v>34</v>
      </c>
      <c r="D43" s="2" t="s">
        <v>35</v>
      </c>
      <c r="E43" s="4">
        <v>1824</v>
      </c>
      <c r="F43" s="4">
        <v>3185</v>
      </c>
      <c r="G43" s="4">
        <v>1833</v>
      </c>
      <c r="H43" s="4">
        <v>470</v>
      </c>
      <c r="I43" s="4">
        <v>170</v>
      </c>
      <c r="J43" s="4">
        <f>1000-I43</f>
        <v>830</v>
      </c>
      <c r="K43" s="4">
        <v>985</v>
      </c>
      <c r="L43" s="41">
        <f t="shared" ref="L43:R43" si="34">L40*L44/Units</f>
        <v>1937.75775</v>
      </c>
      <c r="M43" s="41">
        <f t="shared" si="34"/>
        <v>1628.7010739999998</v>
      </c>
      <c r="N43" s="41">
        <f t="shared" si="34"/>
        <v>2993.3857799999996</v>
      </c>
      <c r="O43" s="41">
        <f t="shared" si="34"/>
        <v>2122.9276067999999</v>
      </c>
      <c r="P43" s="41">
        <f t="shared" si="34"/>
        <v>3625.5243527999987</v>
      </c>
      <c r="Q43" s="41">
        <f t="shared" si="34"/>
        <v>6671.3839171874988</v>
      </c>
      <c r="R43" s="41">
        <f t="shared" si="34"/>
        <v>7666.7113564453102</v>
      </c>
      <c r="S43" s="30"/>
      <c r="T43" s="41">
        <f>SUMIF($E$23:$R$23,T$23,$E43:$R43)</f>
        <v>5009</v>
      </c>
      <c r="U43" s="41">
        <f t="shared" ref="U43:AA43" si="35">SUMIF($E$23:$R$23,U$23,$E43:$R43)</f>
        <v>2303</v>
      </c>
      <c r="V43" s="41">
        <f t="shared" si="35"/>
        <v>1000</v>
      </c>
      <c r="W43" s="41">
        <f t="shared" si="35"/>
        <v>2922.7577499999998</v>
      </c>
      <c r="X43" s="41">
        <f t="shared" si="35"/>
        <v>4622.0868539999992</v>
      </c>
      <c r="Y43" s="41">
        <f t="shared" si="35"/>
        <v>5748.4519595999991</v>
      </c>
      <c r="Z43" s="41">
        <f t="shared" si="35"/>
        <v>6671.3839171874988</v>
      </c>
      <c r="AA43" s="41">
        <f t="shared" si="35"/>
        <v>7666.7113564453102</v>
      </c>
      <c r="AB43" s="30"/>
      <c r="AC43" s="30"/>
      <c r="AD43" s="30"/>
    </row>
    <row r="44" spans="3:30" outlineLevel="1" x14ac:dyDescent="0.2">
      <c r="C44" s="31" t="s">
        <v>36</v>
      </c>
      <c r="D44" s="2" t="s">
        <v>37</v>
      </c>
      <c r="E44" s="224">
        <f t="shared" ref="E44:K44" si="36">E43/E$40*Units</f>
        <v>4.0451531347719056</v>
      </c>
      <c r="F44" s="224">
        <f t="shared" si="36"/>
        <v>5.0837988826815641</v>
      </c>
      <c r="G44" s="224">
        <f t="shared" si="36"/>
        <v>4.2707362534948743</v>
      </c>
      <c r="H44" s="224">
        <f t="shared" si="36"/>
        <v>2.9386019757409025</v>
      </c>
      <c r="I44" s="224">
        <f t="shared" si="36"/>
        <v>3.3099688473520246</v>
      </c>
      <c r="J44" s="224">
        <f t="shared" si="36"/>
        <v>4.4966951999133169</v>
      </c>
      <c r="K44" s="224">
        <f t="shared" si="36"/>
        <v>3.6738652045802094</v>
      </c>
      <c r="L44" s="40">
        <v>4.75</v>
      </c>
      <c r="M44" s="40">
        <v>3.9</v>
      </c>
      <c r="N44" s="40">
        <v>4.95</v>
      </c>
      <c r="O44" s="40">
        <v>4.05</v>
      </c>
      <c r="P44" s="40">
        <v>5.0999999999999996</v>
      </c>
      <c r="Q44" s="40">
        <v>4.6500000000000004</v>
      </c>
      <c r="R44" s="40">
        <v>4.75</v>
      </c>
      <c r="S44" s="30"/>
      <c r="T44" s="224">
        <f t="shared" ref="T44:AA44" si="37">T43/T$40*Units</f>
        <v>4.6491122228306772</v>
      </c>
      <c r="U44" s="224">
        <f t="shared" si="37"/>
        <v>3.9090878229283366</v>
      </c>
      <c r="V44" s="224">
        <f t="shared" si="37"/>
        <v>4.238365686191405</v>
      </c>
      <c r="W44" s="224">
        <f t="shared" si="37"/>
        <v>4.3232288158282044</v>
      </c>
      <c r="X44" s="224">
        <f t="shared" si="37"/>
        <v>4.5210855319510799</v>
      </c>
      <c r="Y44" s="224">
        <f t="shared" si="37"/>
        <v>4.654365281351458</v>
      </c>
      <c r="Z44" s="224">
        <f t="shared" si="37"/>
        <v>4.6500000000000004</v>
      </c>
      <c r="AA44" s="224">
        <f t="shared" si="37"/>
        <v>4.75</v>
      </c>
      <c r="AB44" s="30"/>
      <c r="AC44" s="30"/>
      <c r="AD44" s="30"/>
    </row>
    <row r="45" spans="3:30" outlineLevel="1" x14ac:dyDescent="0.2">
      <c r="C45" s="30"/>
      <c r="D45" s="30"/>
      <c r="E45" s="428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spans="3:30" outlineLevel="1" x14ac:dyDescent="0.2">
      <c r="C46" s="30" t="s">
        <v>38</v>
      </c>
      <c r="D46" s="2" t="s">
        <v>35</v>
      </c>
      <c r="E46" s="5">
        <v>519</v>
      </c>
      <c r="F46" s="5">
        <v>857</v>
      </c>
      <c r="G46" s="5">
        <v>549</v>
      </c>
      <c r="H46" s="5">
        <v>157</v>
      </c>
      <c r="I46" s="5">
        <v>70</v>
      </c>
      <c r="J46" s="5">
        <f>458-I46</f>
        <v>388</v>
      </c>
      <c r="K46" s="5">
        <v>513</v>
      </c>
      <c r="L46" s="33">
        <f t="shared" ref="L46:R46" si="38">L47*L40/Units</f>
        <v>713.91075000000001</v>
      </c>
      <c r="M46" s="33">
        <f t="shared" si="38"/>
        <v>647.30427300000008</v>
      </c>
      <c r="N46" s="33">
        <f t="shared" si="38"/>
        <v>816.37793999999997</v>
      </c>
      <c r="O46" s="33">
        <f t="shared" si="38"/>
        <v>602.80660439999997</v>
      </c>
      <c r="P46" s="33">
        <f t="shared" si="38"/>
        <v>995.24197919999961</v>
      </c>
      <c r="Q46" s="33">
        <f t="shared" si="38"/>
        <v>1865.1180843749994</v>
      </c>
      <c r="R46" s="33">
        <f t="shared" si="38"/>
        <v>2178.9600697265619</v>
      </c>
      <c r="S46" s="30"/>
      <c r="T46" s="33">
        <f>SUMIF($E$23:$R$23,T$23,$E46:$R46)</f>
        <v>1376</v>
      </c>
      <c r="U46" s="33">
        <f t="shared" ref="U46:AA46" si="39">SUMIF($E$23:$R$23,U$23,$E46:$R46)</f>
        <v>706</v>
      </c>
      <c r="V46" s="33">
        <f t="shared" si="39"/>
        <v>458</v>
      </c>
      <c r="W46" s="33">
        <f t="shared" si="39"/>
        <v>1226.91075</v>
      </c>
      <c r="X46" s="33">
        <f t="shared" si="39"/>
        <v>1463.682213</v>
      </c>
      <c r="Y46" s="33">
        <f t="shared" si="39"/>
        <v>1598.0485835999996</v>
      </c>
      <c r="Z46" s="33">
        <f t="shared" si="39"/>
        <v>1865.1180843749994</v>
      </c>
      <c r="AA46" s="33">
        <f t="shared" si="39"/>
        <v>2178.9600697265619</v>
      </c>
      <c r="AB46" s="30"/>
      <c r="AC46" s="30"/>
      <c r="AD46" s="30"/>
    </row>
    <row r="47" spans="3:30" outlineLevel="1" x14ac:dyDescent="0.2">
      <c r="C47" s="31" t="s">
        <v>36</v>
      </c>
      <c r="D47" s="2" t="s">
        <v>37</v>
      </c>
      <c r="E47" s="224">
        <f t="shared" ref="E47:K47" si="40">E46/E$40*Units</f>
        <v>1.1510057439400323</v>
      </c>
      <c r="F47" s="224">
        <f t="shared" si="40"/>
        <v>1.3679169992019153</v>
      </c>
      <c r="G47" s="224">
        <f t="shared" si="40"/>
        <v>1.2791239515377446</v>
      </c>
      <c r="H47" s="224">
        <f t="shared" si="40"/>
        <v>0.98161810679004635</v>
      </c>
      <c r="I47" s="224">
        <f t="shared" si="40"/>
        <v>1.3629283489096573</v>
      </c>
      <c r="J47" s="224">
        <f t="shared" si="40"/>
        <v>2.102069563332972</v>
      </c>
      <c r="K47" s="224">
        <f t="shared" si="40"/>
        <v>1.9133937562940584</v>
      </c>
      <c r="L47" s="40">
        <v>1.75</v>
      </c>
      <c r="M47" s="40">
        <v>1.55</v>
      </c>
      <c r="N47" s="40">
        <v>1.35</v>
      </c>
      <c r="O47" s="40">
        <v>1.1499999999999999</v>
      </c>
      <c r="P47" s="40">
        <v>1.4</v>
      </c>
      <c r="Q47" s="40">
        <v>1.3</v>
      </c>
      <c r="R47" s="40">
        <v>1.35</v>
      </c>
      <c r="S47" s="30"/>
      <c r="T47" s="224">
        <f t="shared" ref="T47:AA47" si="41">T46/T$40*Units</f>
        <v>1.2771368374156542</v>
      </c>
      <c r="U47" s="224">
        <f t="shared" si="41"/>
        <v>1.1983569270462029</v>
      </c>
      <c r="V47" s="224">
        <f t="shared" si="41"/>
        <v>1.9411714842756631</v>
      </c>
      <c r="W47" s="224">
        <f t="shared" si="41"/>
        <v>1.8147983386065418</v>
      </c>
      <c r="X47" s="224">
        <f t="shared" si="41"/>
        <v>1.4316979939140801</v>
      </c>
      <c r="Y47" s="224">
        <f t="shared" si="41"/>
        <v>1.2938964955598709</v>
      </c>
      <c r="Z47" s="224">
        <f t="shared" si="41"/>
        <v>1.3</v>
      </c>
      <c r="AA47" s="224">
        <f t="shared" si="41"/>
        <v>1.35</v>
      </c>
      <c r="AB47" s="30"/>
      <c r="AC47" s="30"/>
      <c r="AD47" s="30"/>
    </row>
    <row r="48" spans="3:30" x14ac:dyDescent="0.2"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spans="2:30" x14ac:dyDescent="0.2">
      <c r="B49" s="10" t="s">
        <v>39</v>
      </c>
      <c r="C49" s="429"/>
      <c r="D49" s="429"/>
      <c r="E49" s="35">
        <f>$E$26</f>
        <v>43555</v>
      </c>
      <c r="F49" s="42">
        <f>$F$26</f>
        <v>43738</v>
      </c>
      <c r="G49" s="35">
        <f>$G$26</f>
        <v>43921</v>
      </c>
      <c r="H49" s="42">
        <f>$H$26</f>
        <v>44104</v>
      </c>
      <c r="I49" s="35">
        <f>$I$26</f>
        <v>44286</v>
      </c>
      <c r="J49" s="42">
        <f>$J$26</f>
        <v>44469</v>
      </c>
      <c r="K49" s="35">
        <f>$K$26</f>
        <v>44651</v>
      </c>
      <c r="L49" s="415">
        <f>$L$26</f>
        <v>44834</v>
      </c>
      <c r="M49" s="35">
        <f>$M$26</f>
        <v>45016</v>
      </c>
      <c r="N49" s="42">
        <f>$N$26</f>
        <v>45199</v>
      </c>
      <c r="O49" s="35">
        <f>$O$26</f>
        <v>45382</v>
      </c>
      <c r="P49" s="46">
        <f>$P$26</f>
        <v>45565</v>
      </c>
      <c r="Q49" s="43">
        <f>$Q$26</f>
        <v>45930</v>
      </c>
      <c r="R49" s="43">
        <f>$R$26</f>
        <v>46295</v>
      </c>
      <c r="S49" s="30"/>
      <c r="T49" s="43">
        <f>$T$26</f>
        <v>43738</v>
      </c>
      <c r="U49" s="43">
        <f>$U$26</f>
        <v>44104</v>
      </c>
      <c r="V49" s="43">
        <f>$V$26</f>
        <v>44469</v>
      </c>
      <c r="W49" s="43">
        <f>$W$26</f>
        <v>44834</v>
      </c>
      <c r="X49" s="43">
        <f>$X$26</f>
        <v>45199</v>
      </c>
      <c r="Y49" s="43">
        <f>$Y$26</f>
        <v>45565</v>
      </c>
      <c r="Z49" s="43">
        <f>$Z$26</f>
        <v>45930</v>
      </c>
      <c r="AA49" s="43">
        <f>$AA$26</f>
        <v>46295</v>
      </c>
      <c r="AB49" s="30"/>
      <c r="AC49" s="30"/>
      <c r="AD49" s="30"/>
    </row>
    <row r="50" spans="2:30" outlineLevel="1" x14ac:dyDescent="0.2"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spans="2:30" outlineLevel="1" x14ac:dyDescent="0.2">
      <c r="B51" s="30"/>
      <c r="C51" s="30" t="s">
        <v>40</v>
      </c>
      <c r="D51" s="2" t="s">
        <v>41</v>
      </c>
      <c r="E51" s="428">
        <f t="shared" ref="E51:K51" si="42">-E95/E29*Units</f>
        <v>3.5590576701035106</v>
      </c>
      <c r="F51" s="428">
        <f t="shared" si="42"/>
        <v>3.3618737722862844</v>
      </c>
      <c r="G51" s="428">
        <f t="shared" si="42"/>
        <v>3.7623254122730092</v>
      </c>
      <c r="H51" s="428">
        <f t="shared" si="42"/>
        <v>5.517198482303912</v>
      </c>
      <c r="I51" s="428">
        <f t="shared" si="42"/>
        <v>6.5158259149357081</v>
      </c>
      <c r="J51" s="428">
        <f t="shared" si="42"/>
        <v>3.8994457640538402</v>
      </c>
      <c r="K51" s="428">
        <f t="shared" si="42"/>
        <v>3.9577682503572782</v>
      </c>
      <c r="L51" s="45">
        <v>3.5</v>
      </c>
      <c r="M51" s="45">
        <v>3.7</v>
      </c>
      <c r="N51" s="45">
        <v>3.45</v>
      </c>
      <c r="O51" s="45">
        <v>3.6</v>
      </c>
      <c r="P51" s="45">
        <v>3.5</v>
      </c>
      <c r="Q51" s="45">
        <v>3.55</v>
      </c>
      <c r="R51" s="45">
        <v>3.6</v>
      </c>
      <c r="S51" s="30"/>
      <c r="T51" s="428">
        <f t="shared" ref="T51:AA51" si="43">-T95/T29*Units</f>
        <v>3.4457503274281382</v>
      </c>
      <c r="U51" s="428">
        <f t="shared" si="43"/>
        <v>4.2113639980900839</v>
      </c>
      <c r="V51" s="428">
        <f t="shared" si="43"/>
        <v>4.5340050377833752</v>
      </c>
      <c r="W51" s="428">
        <f t="shared" si="43"/>
        <v>3.6907548522745226</v>
      </c>
      <c r="X51" s="428">
        <f t="shared" si="43"/>
        <v>3.5541765413643489</v>
      </c>
      <c r="Y51" s="428">
        <f t="shared" si="43"/>
        <v>3.542708602569093</v>
      </c>
      <c r="Z51" s="428">
        <f t="shared" si="43"/>
        <v>3.55</v>
      </c>
      <c r="AA51" s="428">
        <f t="shared" si="43"/>
        <v>3.6000000000000005</v>
      </c>
      <c r="AB51" s="30"/>
      <c r="AC51" s="30"/>
      <c r="AD51" s="30"/>
    </row>
    <row r="52" spans="2:30" outlineLevel="1" x14ac:dyDescent="0.2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spans="2:30" outlineLevel="1" x14ac:dyDescent="0.2">
      <c r="B53" s="30"/>
      <c r="C53" s="30" t="s">
        <v>42</v>
      </c>
      <c r="D53" s="2" t="s">
        <v>41</v>
      </c>
      <c r="E53" s="224">
        <f t="shared" ref="E53:K53" si="44">-E96/E29*Units</f>
        <v>1.2194380861709238</v>
      </c>
      <c r="F53" s="224">
        <f t="shared" si="44"/>
        <v>1.2205911019808364</v>
      </c>
      <c r="G53" s="224">
        <f t="shared" si="44"/>
        <v>1.1421726948003337</v>
      </c>
      <c r="H53" s="224">
        <f t="shared" si="44"/>
        <v>1.1631523294146917</v>
      </c>
      <c r="I53" s="224">
        <f t="shared" si="44"/>
        <v>1.1993076162215628</v>
      </c>
      <c r="J53" s="224">
        <f t="shared" si="44"/>
        <v>1.0847189231987333</v>
      </c>
      <c r="K53" s="224">
        <f t="shared" si="44"/>
        <v>1.0557937410680431</v>
      </c>
      <c r="L53" s="224">
        <f t="shared" ref="L53:R53" si="45">INDEX(L54:L56,MATCH(Scenario,$C54:$C56,0),1)</f>
        <v>1.1000000000000001</v>
      </c>
      <c r="M53" s="224">
        <f t="shared" si="45"/>
        <v>1.1200000000000001</v>
      </c>
      <c r="N53" s="224">
        <f t="shared" si="45"/>
        <v>1.1200000000000001</v>
      </c>
      <c r="O53" s="224">
        <f t="shared" si="45"/>
        <v>1.1499999999999999</v>
      </c>
      <c r="P53" s="224">
        <f t="shared" si="45"/>
        <v>1.2</v>
      </c>
      <c r="Q53" s="224">
        <f t="shared" si="45"/>
        <v>1.2</v>
      </c>
      <c r="R53" s="224">
        <f t="shared" si="45"/>
        <v>1.22</v>
      </c>
      <c r="S53" s="30"/>
      <c r="T53" s="224">
        <f t="shared" ref="T53:AA53" si="46">-T96/T29*Units</f>
        <v>1.2201006410698283</v>
      </c>
      <c r="U53" s="224">
        <f t="shared" si="46"/>
        <v>1.1475409836065573</v>
      </c>
      <c r="V53" s="224">
        <f t="shared" si="46"/>
        <v>1.1125104953820319</v>
      </c>
      <c r="W53" s="224">
        <f t="shared" si="46"/>
        <v>1.0815789793512476</v>
      </c>
      <c r="X53" s="224">
        <f t="shared" si="46"/>
        <v>1.1199999999999999</v>
      </c>
      <c r="Y53" s="224">
        <f t="shared" si="46"/>
        <v>1.1786456987154537</v>
      </c>
      <c r="Z53" s="224">
        <f t="shared" si="46"/>
        <v>1.2</v>
      </c>
      <c r="AA53" s="224">
        <f t="shared" si="46"/>
        <v>1.22</v>
      </c>
      <c r="AB53" s="30"/>
      <c r="AC53" s="30"/>
      <c r="AD53" s="30"/>
    </row>
    <row r="54" spans="2:30" outlineLevel="1" x14ac:dyDescent="0.2">
      <c r="B54" s="30"/>
      <c r="C54" s="31" t="str">
        <f>$C$31</f>
        <v>Base</v>
      </c>
      <c r="D54" s="2" t="s">
        <v>41</v>
      </c>
      <c r="E54" s="224"/>
      <c r="F54" s="224"/>
      <c r="G54" s="224"/>
      <c r="H54" s="224"/>
      <c r="I54" s="224"/>
      <c r="J54" s="224"/>
      <c r="K54" s="224"/>
      <c r="L54" s="40">
        <v>1.1000000000000001</v>
      </c>
      <c r="M54" s="40">
        <v>1.1200000000000001</v>
      </c>
      <c r="N54" s="40">
        <v>1.1200000000000001</v>
      </c>
      <c r="O54" s="40">
        <v>1.1499999999999999</v>
      </c>
      <c r="P54" s="40">
        <v>1.2</v>
      </c>
      <c r="Q54" s="40">
        <v>1.2</v>
      </c>
      <c r="R54" s="40">
        <v>1.22</v>
      </c>
      <c r="S54" s="30"/>
      <c r="T54" s="224"/>
      <c r="U54" s="224"/>
      <c r="V54" s="224"/>
      <c r="W54" s="224"/>
      <c r="X54" s="224"/>
      <c r="Y54" s="224"/>
      <c r="Z54" s="224"/>
      <c r="AA54" s="224"/>
      <c r="AB54" s="30"/>
      <c r="AC54" s="30"/>
      <c r="AD54" s="30"/>
    </row>
    <row r="55" spans="2:30" outlineLevel="1" x14ac:dyDescent="0.2">
      <c r="B55" s="30"/>
      <c r="C55" s="31" t="str">
        <f>$C$32</f>
        <v>Downside</v>
      </c>
      <c r="D55" s="2" t="s">
        <v>41</v>
      </c>
      <c r="E55" s="224"/>
      <c r="F55" s="224"/>
      <c r="G55" s="224"/>
      <c r="H55" s="224"/>
      <c r="I55" s="224"/>
      <c r="J55" s="224"/>
      <c r="K55" s="224"/>
      <c r="L55" s="40">
        <v>1.1200000000000001</v>
      </c>
      <c r="M55" s="40">
        <v>1.1499999999999999</v>
      </c>
      <c r="N55" s="40">
        <v>1.2</v>
      </c>
      <c r="O55" s="40">
        <v>1.25</v>
      </c>
      <c r="P55" s="40">
        <v>1.3</v>
      </c>
      <c r="Q55" s="40">
        <v>1.35</v>
      </c>
      <c r="R55" s="40">
        <v>1.4</v>
      </c>
      <c r="S55" s="30"/>
      <c r="T55" s="224"/>
      <c r="U55" s="224"/>
      <c r="V55" s="224"/>
      <c r="W55" s="224"/>
      <c r="X55" s="224"/>
      <c r="Y55" s="224"/>
      <c r="Z55" s="224"/>
      <c r="AA55" s="224"/>
      <c r="AB55" s="30"/>
      <c r="AC55" s="30"/>
      <c r="AD55" s="30"/>
    </row>
    <row r="56" spans="2:30" outlineLevel="1" x14ac:dyDescent="0.2">
      <c r="B56" s="30"/>
      <c r="C56" s="31" t="str">
        <f>$C$33</f>
        <v>XT Downside</v>
      </c>
      <c r="D56" s="2" t="s">
        <v>41</v>
      </c>
      <c r="E56" s="224"/>
      <c r="F56" s="224"/>
      <c r="G56" s="224"/>
      <c r="H56" s="224"/>
      <c r="I56" s="224"/>
      <c r="J56" s="224"/>
      <c r="K56" s="224"/>
      <c r="L56" s="40">
        <v>1.1499999999999999</v>
      </c>
      <c r="M56" s="40">
        <v>1.2</v>
      </c>
      <c r="N56" s="40">
        <v>1.25</v>
      </c>
      <c r="O56" s="40">
        <v>1.33</v>
      </c>
      <c r="P56" s="40">
        <v>1.4</v>
      </c>
      <c r="Q56" s="40">
        <v>1.45</v>
      </c>
      <c r="R56" s="40">
        <v>1.5</v>
      </c>
      <c r="S56" s="30"/>
      <c r="T56" s="224"/>
      <c r="U56" s="224"/>
      <c r="V56" s="224"/>
      <c r="W56" s="224"/>
      <c r="X56" s="224"/>
      <c r="Y56" s="224"/>
      <c r="Z56" s="224"/>
      <c r="AA56" s="224"/>
      <c r="AB56" s="30"/>
      <c r="AC56" s="30"/>
      <c r="AD56" s="30"/>
    </row>
    <row r="57" spans="2:30" outlineLevel="1" x14ac:dyDescent="0.2">
      <c r="B57" s="30"/>
      <c r="C57" s="30"/>
      <c r="D57" s="30"/>
      <c r="E57" s="224"/>
      <c r="F57" s="224"/>
      <c r="G57" s="224"/>
      <c r="H57" s="224"/>
      <c r="I57" s="224"/>
      <c r="J57" s="224"/>
      <c r="K57" s="224"/>
      <c r="L57" s="30"/>
      <c r="M57" s="30"/>
      <c r="N57" s="30"/>
      <c r="O57" s="30"/>
      <c r="P57" s="30"/>
      <c r="Q57" s="30"/>
      <c r="R57" s="30"/>
      <c r="S57" s="30"/>
      <c r="T57" s="224"/>
      <c r="U57" s="224"/>
      <c r="V57" s="224"/>
      <c r="W57" s="224"/>
      <c r="X57" s="224"/>
      <c r="Y57" s="224"/>
      <c r="Z57" s="224"/>
      <c r="AA57" s="224"/>
      <c r="AB57" s="30"/>
      <c r="AC57" s="30"/>
      <c r="AD57" s="30"/>
    </row>
    <row r="58" spans="2:30" outlineLevel="1" x14ac:dyDescent="0.2">
      <c r="B58" s="30"/>
      <c r="C58" s="30" t="s">
        <v>43</v>
      </c>
      <c r="D58" s="2" t="s">
        <v>41</v>
      </c>
      <c r="E58" s="224">
        <f t="shared" ref="E58:K58" si="47">-E100/E29*Units</f>
        <v>0.23294913606255191</v>
      </c>
      <c r="F58" s="224">
        <f t="shared" si="47"/>
        <v>0.19793369221310864</v>
      </c>
      <c r="G58" s="224">
        <f t="shared" si="47"/>
        <v>0.26308472183603188</v>
      </c>
      <c r="H58" s="224">
        <f t="shared" si="47"/>
        <v>0.65932698886608199</v>
      </c>
      <c r="I58" s="224">
        <f t="shared" si="47"/>
        <v>1.1498516320474776</v>
      </c>
      <c r="J58" s="224">
        <f t="shared" si="47"/>
        <v>0.5106888361045131</v>
      </c>
      <c r="K58" s="224">
        <f t="shared" si="47"/>
        <v>0.38790212033715404</v>
      </c>
      <c r="L58" s="40">
        <v>0.3</v>
      </c>
      <c r="M58" s="40">
        <v>0.25</v>
      </c>
      <c r="N58" s="40">
        <v>0.2</v>
      </c>
      <c r="O58" s="40">
        <v>0.23</v>
      </c>
      <c r="P58" s="40">
        <v>0.19</v>
      </c>
      <c r="Q58" s="40">
        <v>0.2</v>
      </c>
      <c r="R58" s="40">
        <v>0.2</v>
      </c>
      <c r="S58" s="30"/>
      <c r="T58" s="224">
        <f t="shared" ref="T58:AA58" si="48">-T100/T29*Units</f>
        <v>0.21282828979113533</v>
      </c>
      <c r="U58" s="224">
        <f t="shared" si="48"/>
        <v>0.36447556899570266</v>
      </c>
      <c r="V58" s="224">
        <f t="shared" si="48"/>
        <v>0.66570708888089247</v>
      </c>
      <c r="W58" s="224">
        <f t="shared" si="48"/>
        <v>0.33662935550126999</v>
      </c>
      <c r="X58" s="224">
        <f t="shared" si="48"/>
        <v>0.22083530827286982</v>
      </c>
      <c r="Y58" s="224">
        <f t="shared" si="48"/>
        <v>0.20708344102763721</v>
      </c>
      <c r="Z58" s="224">
        <f t="shared" si="48"/>
        <v>0.2</v>
      </c>
      <c r="AA58" s="224">
        <f t="shared" si="48"/>
        <v>0.2</v>
      </c>
      <c r="AB58" s="30"/>
      <c r="AC58" s="30"/>
      <c r="AD58" s="30"/>
    </row>
    <row r="59" spans="2:30" outlineLevel="1" x14ac:dyDescent="0.2">
      <c r="B59" s="30"/>
      <c r="C59" s="36" t="s">
        <v>44</v>
      </c>
      <c r="D59" s="2" t="s">
        <v>41</v>
      </c>
      <c r="E59" s="224">
        <f t="shared" ref="E59:K59" si="49">-E102/E29*Units</f>
        <v>0.25117993801527333</v>
      </c>
      <c r="F59" s="224">
        <f t="shared" si="49"/>
        <v>0.19943318988138972</v>
      </c>
      <c r="G59" s="224">
        <f t="shared" si="49"/>
        <v>0.29730712467649134</v>
      </c>
      <c r="H59" s="224">
        <f t="shared" si="49"/>
        <v>0.84592896684704855</v>
      </c>
      <c r="I59" s="224">
        <f t="shared" si="49"/>
        <v>1.533135509396637</v>
      </c>
      <c r="J59" s="224">
        <f t="shared" si="49"/>
        <v>0.55027711797307999</v>
      </c>
      <c r="K59" s="224">
        <f t="shared" si="49"/>
        <v>0.42290080788637091</v>
      </c>
      <c r="L59" s="40">
        <v>0.33</v>
      </c>
      <c r="M59" s="40">
        <v>0.28000000000000003</v>
      </c>
      <c r="N59" s="40">
        <v>0.23</v>
      </c>
      <c r="O59" s="40">
        <v>0.26</v>
      </c>
      <c r="P59" s="40">
        <v>0.22</v>
      </c>
      <c r="Q59" s="40">
        <v>0.23</v>
      </c>
      <c r="R59" s="40">
        <v>0.23</v>
      </c>
      <c r="S59" s="30"/>
      <c r="T59" s="224">
        <f t="shared" ref="T59:AA59" si="50">-T102/T29*Units</f>
        <v>0.22144481974219343</v>
      </c>
      <c r="U59" s="224">
        <f t="shared" si="50"/>
        <v>0.43768900206907524</v>
      </c>
      <c r="V59" s="224">
        <f t="shared" si="50"/>
        <v>0.78865299268321942</v>
      </c>
      <c r="W59" s="224">
        <f t="shared" si="50"/>
        <v>0.36871233942222381</v>
      </c>
      <c r="X59" s="224">
        <f t="shared" si="50"/>
        <v>0.25083530827286982</v>
      </c>
      <c r="Y59" s="224">
        <f t="shared" si="50"/>
        <v>0.23708344102763723</v>
      </c>
      <c r="Z59" s="224">
        <f t="shared" si="50"/>
        <v>0.22999999999999998</v>
      </c>
      <c r="AA59" s="224">
        <f t="shared" si="50"/>
        <v>0.22999999999999998</v>
      </c>
      <c r="AB59" s="30"/>
      <c r="AC59" s="30"/>
      <c r="AD59" s="30"/>
    </row>
    <row r="60" spans="2:30" outlineLevel="1" x14ac:dyDescent="0.2"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spans="2:30" outlineLevel="1" x14ac:dyDescent="0.2">
      <c r="B61" s="30"/>
      <c r="C61" s="30" t="s">
        <v>45</v>
      </c>
      <c r="D61" s="2" t="s">
        <v>13</v>
      </c>
      <c r="E61" s="427">
        <f>-E113/E112</f>
        <v>0.19852941176470587</v>
      </c>
      <c r="F61" s="427">
        <f t="shared" ref="F61:K61" si="51">-F113/F112</f>
        <v>0.19230769230769232</v>
      </c>
      <c r="G61" s="427">
        <f t="shared" si="51"/>
        <v>8.2152974504249299E-2</v>
      </c>
      <c r="H61" s="427">
        <f t="shared" si="51"/>
        <v>0.17934782608695651</v>
      </c>
      <c r="I61" s="427">
        <f t="shared" si="51"/>
        <v>0.14883720930232558</v>
      </c>
      <c r="J61" s="427">
        <f t="shared" si="51"/>
        <v>0.20971867007672634</v>
      </c>
      <c r="K61" s="427">
        <f t="shared" si="51"/>
        <v>0.22621184919210055</v>
      </c>
      <c r="L61" s="38">
        <v>0.19</v>
      </c>
      <c r="M61" s="38">
        <v>0.19</v>
      </c>
      <c r="N61" s="38">
        <v>0.25</v>
      </c>
      <c r="O61" s="47">
        <f t="shared" ref="O61:R61" si="52">N61</f>
        <v>0.25</v>
      </c>
      <c r="P61" s="47">
        <f t="shared" si="52"/>
        <v>0.25</v>
      </c>
      <c r="Q61" s="47">
        <f t="shared" si="52"/>
        <v>0.25</v>
      </c>
      <c r="R61" s="47">
        <f t="shared" si="52"/>
        <v>0.25</v>
      </c>
      <c r="S61" s="30"/>
      <c r="T61" s="427">
        <f t="shared" ref="T61:AA61" si="53">-T113/T112</f>
        <v>0.1883720930232558</v>
      </c>
      <c r="U61" s="427">
        <f t="shared" si="53"/>
        <v>0.15239591516103693</v>
      </c>
      <c r="V61" s="427">
        <f t="shared" si="53"/>
        <v>0.1718146718146718</v>
      </c>
      <c r="W61" s="427">
        <f t="shared" si="53"/>
        <v>0.2357134231846493</v>
      </c>
      <c r="X61" s="427">
        <f t="shared" si="53"/>
        <v>0.364774720583662</v>
      </c>
      <c r="Y61" s="427">
        <f t="shared" si="53"/>
        <v>0.24999999999999969</v>
      </c>
      <c r="Z61" s="427">
        <f t="shared" si="53"/>
        <v>0.25</v>
      </c>
      <c r="AA61" s="427">
        <f t="shared" si="53"/>
        <v>0.25</v>
      </c>
      <c r="AB61" s="30"/>
      <c r="AC61" s="30"/>
      <c r="AD61" s="30"/>
    </row>
    <row r="62" spans="2:30" x14ac:dyDescent="0.2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spans="2:30" x14ac:dyDescent="0.2">
      <c r="B63" s="10" t="s">
        <v>46</v>
      </c>
      <c r="C63" s="429"/>
      <c r="D63" s="429"/>
      <c r="E63" s="35">
        <f>$E$26</f>
        <v>43555</v>
      </c>
      <c r="F63" s="42">
        <f>$F$26</f>
        <v>43738</v>
      </c>
      <c r="G63" s="35">
        <f>$G$26</f>
        <v>43921</v>
      </c>
      <c r="H63" s="42">
        <f>$H$26</f>
        <v>44104</v>
      </c>
      <c r="I63" s="35">
        <f>$I$26</f>
        <v>44286</v>
      </c>
      <c r="J63" s="42">
        <f>$J$26</f>
        <v>44469</v>
      </c>
      <c r="K63" s="35">
        <f>$K$26</f>
        <v>44651</v>
      </c>
      <c r="L63" s="44">
        <f>$L$26</f>
        <v>44834</v>
      </c>
      <c r="M63" s="35">
        <f>$M$26</f>
        <v>45016</v>
      </c>
      <c r="N63" s="42">
        <f>$N$26</f>
        <v>45199</v>
      </c>
      <c r="O63" s="35">
        <f>$O$26</f>
        <v>45382</v>
      </c>
      <c r="P63" s="46">
        <f>$P$26</f>
        <v>45565</v>
      </c>
      <c r="Q63" s="43">
        <f>$Q$26</f>
        <v>45930</v>
      </c>
      <c r="R63" s="43">
        <f>$R$26</f>
        <v>46295</v>
      </c>
      <c r="S63" s="30"/>
      <c r="T63" s="43">
        <f>$T$26</f>
        <v>43738</v>
      </c>
      <c r="U63" s="43">
        <f>$U$26</f>
        <v>44104</v>
      </c>
      <c r="V63" s="43">
        <f>$V$26</f>
        <v>44469</v>
      </c>
      <c r="W63" s="43">
        <f>$W$26</f>
        <v>44834</v>
      </c>
      <c r="X63" s="43">
        <f>$X$26</f>
        <v>45199</v>
      </c>
      <c r="Y63" s="43">
        <f>$Y$26</f>
        <v>45565</v>
      </c>
      <c r="Z63" s="43">
        <f>$Z$26</f>
        <v>45930</v>
      </c>
      <c r="AA63" s="43">
        <f>$AA$26</f>
        <v>46295</v>
      </c>
      <c r="AB63" s="30"/>
      <c r="AC63" s="30"/>
      <c r="AD63" s="30"/>
    </row>
    <row r="64" spans="2:30" outlineLevel="1" x14ac:dyDescent="0.2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spans="3:30" outlineLevel="1" x14ac:dyDescent="0.2">
      <c r="C65" s="30" t="s">
        <v>47</v>
      </c>
      <c r="D65" s="2" t="s">
        <v>13</v>
      </c>
      <c r="E65" s="427"/>
      <c r="F65" s="427">
        <f>F121/SUM(E94:F94)</f>
        <v>4.7298355520751761E-2</v>
      </c>
      <c r="G65" s="427">
        <f t="shared" ref="G65:K65" si="54">G121/SUM(F94:G94)</f>
        <v>5.1681195516811954E-2</v>
      </c>
      <c r="H65" s="427">
        <f t="shared" si="54"/>
        <v>6.4140910601528753E-2</v>
      </c>
      <c r="I65" s="427">
        <f t="shared" si="54"/>
        <v>0.17301038062283736</v>
      </c>
      <c r="J65" s="427">
        <f t="shared" si="54"/>
        <v>0.19958847736625515</v>
      </c>
      <c r="K65" s="427">
        <f t="shared" si="54"/>
        <v>0.12371134020618557</v>
      </c>
      <c r="L65" s="38">
        <v>0.1</v>
      </c>
      <c r="M65" s="38">
        <v>0.08</v>
      </c>
      <c r="N65" s="38">
        <v>7.0000000000000007E-2</v>
      </c>
      <c r="O65" s="38">
        <v>0.06</v>
      </c>
      <c r="P65" s="38">
        <v>0.05</v>
      </c>
      <c r="Q65" s="38">
        <v>0.05</v>
      </c>
      <c r="R65" s="38">
        <v>0.05</v>
      </c>
      <c r="S65" s="30"/>
      <c r="T65" s="427">
        <f>T121/T94</f>
        <v>4.7298355520751761E-2</v>
      </c>
      <c r="U65" s="427">
        <f t="shared" ref="U65:AA65" si="55">U121/U94</f>
        <v>6.4140910601528753E-2</v>
      </c>
      <c r="V65" s="427">
        <f t="shared" si="55"/>
        <v>0.19958847736625515</v>
      </c>
      <c r="W65" s="427">
        <f t="shared" si="55"/>
        <v>0.1</v>
      </c>
      <c r="X65" s="427">
        <f t="shared" si="55"/>
        <v>7.0000000000000007E-2</v>
      </c>
      <c r="Y65" s="427">
        <f t="shared" si="55"/>
        <v>0.05</v>
      </c>
      <c r="Z65" s="427">
        <f t="shared" si="55"/>
        <v>0.05</v>
      </c>
      <c r="AA65" s="427">
        <f t="shared" si="55"/>
        <v>0.05</v>
      </c>
      <c r="AB65" s="30"/>
      <c r="AC65" s="30"/>
      <c r="AD65" s="30"/>
    </row>
    <row r="66" spans="3:30" outlineLevel="1" x14ac:dyDescent="0.2">
      <c r="C66" s="30" t="s">
        <v>48</v>
      </c>
      <c r="D66" s="2" t="s">
        <v>13</v>
      </c>
      <c r="E66" s="427"/>
      <c r="F66" s="427">
        <f>F127/SUM(E94:F94)</f>
        <v>0.16742364917776037</v>
      </c>
      <c r="G66" s="427">
        <f t="shared" ref="G66:K66" si="56">G127/SUM(F94:G94)</f>
        <v>0.15161892901618929</v>
      </c>
      <c r="H66" s="427">
        <f t="shared" si="56"/>
        <v>0.20405450315719509</v>
      </c>
      <c r="I66" s="427">
        <f t="shared" si="56"/>
        <v>0.7635524798154556</v>
      </c>
      <c r="J66" s="427">
        <f t="shared" si="56"/>
        <v>0.58024691358024694</v>
      </c>
      <c r="K66" s="427">
        <f t="shared" si="56"/>
        <v>0.65537555228276878</v>
      </c>
      <c r="L66" s="38">
        <v>0.55000000000000004</v>
      </c>
      <c r="M66" s="38">
        <v>0.45</v>
      </c>
      <c r="N66" s="38">
        <v>0.35</v>
      </c>
      <c r="O66" s="38">
        <v>0.25</v>
      </c>
      <c r="P66" s="38">
        <v>0.2</v>
      </c>
      <c r="Q66" s="38">
        <v>0.2</v>
      </c>
      <c r="R66" s="38">
        <v>0.2</v>
      </c>
      <c r="S66" s="30"/>
      <c r="T66" s="427">
        <f>T127/T94</f>
        <v>0.16742364917776037</v>
      </c>
      <c r="U66" s="427">
        <f t="shared" ref="U66:AA66" si="57">U127/U94</f>
        <v>0.20405450315719509</v>
      </c>
      <c r="V66" s="427">
        <f t="shared" si="57"/>
        <v>0.58024691358024694</v>
      </c>
      <c r="W66" s="427">
        <f t="shared" si="57"/>
        <v>0.55000000000000004</v>
      </c>
      <c r="X66" s="427">
        <f t="shared" si="57"/>
        <v>0.35</v>
      </c>
      <c r="Y66" s="427">
        <f t="shared" si="57"/>
        <v>0.2</v>
      </c>
      <c r="Z66" s="427">
        <f t="shared" si="57"/>
        <v>0.2</v>
      </c>
      <c r="AA66" s="427">
        <f t="shared" si="57"/>
        <v>0.2</v>
      </c>
      <c r="AB66" s="30"/>
      <c r="AC66" s="30"/>
      <c r="AD66" s="30"/>
    </row>
    <row r="67" spans="3:30" outlineLevel="1" x14ac:dyDescent="0.2">
      <c r="C67" s="30" t="s">
        <v>49</v>
      </c>
      <c r="D67" s="2" t="s">
        <v>13</v>
      </c>
      <c r="E67" s="427"/>
      <c r="F67" s="427">
        <f>-F128/SUM(E95:F96)</f>
        <v>0.19390581717451524</v>
      </c>
      <c r="G67" s="427">
        <f t="shared" ref="G67:K67" si="58">-G128/SUM(F95:G96)</f>
        <v>0.31033838100579547</v>
      </c>
      <c r="H67" s="427">
        <f t="shared" si="58"/>
        <v>0.36887436887436886</v>
      </c>
      <c r="I67" s="427">
        <f t="shared" si="58"/>
        <v>0.4717314487632509</v>
      </c>
      <c r="J67" s="427">
        <f t="shared" si="58"/>
        <v>0.59904407859798192</v>
      </c>
      <c r="K67" s="427">
        <f t="shared" si="58"/>
        <v>0.45936870382807254</v>
      </c>
      <c r="L67" s="38">
        <v>0.4</v>
      </c>
      <c r="M67" s="38">
        <v>0.35</v>
      </c>
      <c r="N67" s="38">
        <v>0.3</v>
      </c>
      <c r="O67" s="38">
        <v>0.25</v>
      </c>
      <c r="P67" s="38">
        <v>0.25</v>
      </c>
      <c r="Q67" s="38">
        <v>0.25</v>
      </c>
      <c r="R67" s="38">
        <v>0.25</v>
      </c>
      <c r="S67" s="30"/>
      <c r="T67" s="427">
        <f>-T128/SUM(T95:T96)</f>
        <v>0.19390581717451524</v>
      </c>
      <c r="U67" s="427">
        <f t="shared" ref="U67:AA67" si="59">-U128/SUM(U95:U96)</f>
        <v>0.36887436887436886</v>
      </c>
      <c r="V67" s="427">
        <f t="shared" si="59"/>
        <v>0.59904407859798192</v>
      </c>
      <c r="W67" s="427">
        <f t="shared" si="59"/>
        <v>0.4</v>
      </c>
      <c r="X67" s="427">
        <f t="shared" si="59"/>
        <v>0.3</v>
      </c>
      <c r="Y67" s="427">
        <f t="shared" si="59"/>
        <v>0.24999999999999997</v>
      </c>
      <c r="Z67" s="427">
        <f t="shared" si="59"/>
        <v>0.25</v>
      </c>
      <c r="AA67" s="427">
        <f t="shared" si="59"/>
        <v>0.25</v>
      </c>
      <c r="AB67" s="30"/>
      <c r="AC67" s="30"/>
      <c r="AD67" s="30"/>
    </row>
    <row r="68" spans="3:30" outlineLevel="1" x14ac:dyDescent="0.2">
      <c r="C68" s="30" t="s">
        <v>50</v>
      </c>
      <c r="D68" s="2" t="s">
        <v>13</v>
      </c>
      <c r="E68" s="427"/>
      <c r="F68" s="427">
        <f>-F129/SUM(E95:F96)</f>
        <v>0.17488457987072945</v>
      </c>
      <c r="G68" s="427">
        <f t="shared" ref="G68:K68" si="60">-G129/SUM(F95:G96)</f>
        <v>0.15928210880538418</v>
      </c>
      <c r="H68" s="427">
        <f t="shared" si="60"/>
        <v>0.24948024948024949</v>
      </c>
      <c r="I68" s="427">
        <f t="shared" si="60"/>
        <v>0.42285041224970554</v>
      </c>
      <c r="J68" s="427">
        <f t="shared" si="60"/>
        <v>0.34306956983536907</v>
      </c>
      <c r="K68" s="427">
        <f t="shared" si="60"/>
        <v>0.21692411014103424</v>
      </c>
      <c r="L68" s="38">
        <v>0.2</v>
      </c>
      <c r="M68" s="38">
        <v>0.2</v>
      </c>
      <c r="N68" s="38">
        <v>0.17499999999999999</v>
      </c>
      <c r="O68" s="38">
        <v>0.17499999999999999</v>
      </c>
      <c r="P68" s="38">
        <v>0.17</v>
      </c>
      <c r="Q68" s="38">
        <v>0.17</v>
      </c>
      <c r="R68" s="38">
        <v>0.17</v>
      </c>
      <c r="S68" s="30"/>
      <c r="T68" s="427">
        <f>-T129/SUM(T95:T96)</f>
        <v>0.17488457987072945</v>
      </c>
      <c r="U68" s="427">
        <f t="shared" ref="U68:AA68" si="61">-U129/SUM(U95:U96)</f>
        <v>0.24948024948024949</v>
      </c>
      <c r="V68" s="427">
        <f t="shared" si="61"/>
        <v>0.34306956983536907</v>
      </c>
      <c r="W68" s="427">
        <f t="shared" si="61"/>
        <v>0.2</v>
      </c>
      <c r="X68" s="427">
        <f t="shared" si="61"/>
        <v>0.17499999999999999</v>
      </c>
      <c r="Y68" s="427">
        <f t="shared" si="61"/>
        <v>0.17</v>
      </c>
      <c r="Z68" s="427">
        <f t="shared" si="61"/>
        <v>0.17</v>
      </c>
      <c r="AA68" s="427">
        <f t="shared" si="61"/>
        <v>0.17</v>
      </c>
      <c r="AB68" s="30"/>
      <c r="AC68" s="30"/>
      <c r="AD68" s="30"/>
    </row>
    <row r="69" spans="3:30" outlineLevel="1" x14ac:dyDescent="0.2">
      <c r="C69" s="30"/>
      <c r="D69" s="30"/>
      <c r="E69" s="427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spans="3:30" outlineLevel="1" x14ac:dyDescent="0.2">
      <c r="C70" s="30" t="s">
        <v>51</v>
      </c>
      <c r="D70" s="2" t="s">
        <v>13</v>
      </c>
      <c r="E70" s="427">
        <f>-E146/E110</f>
        <v>0.41176470588235292</v>
      </c>
      <c r="F70" s="427">
        <f t="shared" ref="F70:K70" si="62">-F146/F110</f>
        <v>-0.89473684210526316</v>
      </c>
      <c r="G70" s="427">
        <f t="shared" si="62"/>
        <v>1.05</v>
      </c>
      <c r="H70" s="427">
        <f t="shared" si="62"/>
        <v>0.64948453608247425</v>
      </c>
      <c r="I70" s="427">
        <f t="shared" si="62"/>
        <v>-0.61363636363636365</v>
      </c>
      <c r="J70" s="427">
        <f t="shared" si="62"/>
        <v>-1.5609756097560976</v>
      </c>
      <c r="K70" s="427">
        <f t="shared" si="62"/>
        <v>-1.5517241379310345</v>
      </c>
      <c r="L70" s="38">
        <v>-0.15</v>
      </c>
      <c r="M70" s="47">
        <f>L70</f>
        <v>-0.15</v>
      </c>
      <c r="N70" s="47">
        <f t="shared" ref="N70:R70" si="63">M70</f>
        <v>-0.15</v>
      </c>
      <c r="O70" s="47">
        <f t="shared" si="63"/>
        <v>-0.15</v>
      </c>
      <c r="P70" s="47">
        <f t="shared" si="63"/>
        <v>-0.15</v>
      </c>
      <c r="Q70" s="47">
        <f t="shared" si="63"/>
        <v>-0.15</v>
      </c>
      <c r="R70" s="47">
        <f t="shared" si="63"/>
        <v>-0.15</v>
      </c>
      <c r="S70" s="30"/>
      <c r="T70" s="427">
        <f t="shared" ref="T70:AA70" si="64">-T146/T110</f>
        <v>-0.27777777777777779</v>
      </c>
      <c r="U70" s="427">
        <f t="shared" si="64"/>
        <v>0.84224598930481287</v>
      </c>
      <c r="V70" s="427">
        <f t="shared" si="64"/>
        <v>-1.2301587301587302</v>
      </c>
      <c r="W70" s="427">
        <f t="shared" si="64"/>
        <v>-1.1200585405868975</v>
      </c>
      <c r="X70" s="427">
        <f t="shared" si="64"/>
        <v>-0.15000000000000002</v>
      </c>
      <c r="Y70" s="427">
        <f t="shared" si="64"/>
        <v>-0.15000000000000016</v>
      </c>
      <c r="Z70" s="427">
        <f t="shared" si="64"/>
        <v>-0.15</v>
      </c>
      <c r="AA70" s="427">
        <f t="shared" si="64"/>
        <v>-0.15</v>
      </c>
      <c r="AB70" s="30"/>
      <c r="AC70" s="30"/>
      <c r="AD70" s="30"/>
    </row>
    <row r="71" spans="3:30" outlineLevel="1" x14ac:dyDescent="0.2">
      <c r="C71" s="30" t="s">
        <v>52</v>
      </c>
      <c r="D71" s="2" t="s">
        <v>13</v>
      </c>
      <c r="E71" s="427">
        <f>E148/E94</f>
        <v>3.4144259496372174E-3</v>
      </c>
      <c r="F71" s="427">
        <f t="shared" ref="F71:K71" si="65">F148/F94</f>
        <v>4.9480455220188031E-4</v>
      </c>
      <c r="G71" s="427">
        <f t="shared" si="65"/>
        <v>7.136859781696054E-3</v>
      </c>
      <c r="H71" s="427">
        <f t="shared" si="65"/>
        <v>4.4657097288676235E-2</v>
      </c>
      <c r="I71" s="427">
        <f t="shared" si="65"/>
        <v>-0.21249999999999999</v>
      </c>
      <c r="J71" s="427">
        <f t="shared" si="65"/>
        <v>2.2167487684729065E-2</v>
      </c>
      <c r="K71" s="427">
        <f t="shared" si="65"/>
        <v>2.2696929238985315E-2</v>
      </c>
      <c r="L71" s="38">
        <v>2E-3</v>
      </c>
      <c r="M71" s="47">
        <f>L71</f>
        <v>2E-3</v>
      </c>
      <c r="N71" s="47">
        <f t="shared" ref="N71:R71" si="66">M71</f>
        <v>2E-3</v>
      </c>
      <c r="O71" s="47">
        <f t="shared" si="66"/>
        <v>2E-3</v>
      </c>
      <c r="P71" s="47">
        <f t="shared" si="66"/>
        <v>2E-3</v>
      </c>
      <c r="Q71" s="47">
        <f t="shared" si="66"/>
        <v>2E-3</v>
      </c>
      <c r="R71" s="47">
        <f t="shared" si="66"/>
        <v>2E-3</v>
      </c>
      <c r="S71" s="30"/>
      <c r="T71" s="427">
        <f t="shared" ref="T71:AA71" si="67">T148/T94</f>
        <v>1.5661707126076742E-3</v>
      </c>
      <c r="U71" s="427">
        <f t="shared" si="67"/>
        <v>1.4955134596211365E-2</v>
      </c>
      <c r="V71" s="427">
        <f t="shared" si="67"/>
        <v>-1.646090534979424E-2</v>
      </c>
      <c r="W71" s="427">
        <f t="shared" si="67"/>
        <v>9.4714401885355425E-3</v>
      </c>
      <c r="X71" s="427">
        <f t="shared" si="67"/>
        <v>2E-3</v>
      </c>
      <c r="Y71" s="427">
        <f t="shared" si="67"/>
        <v>2E-3</v>
      </c>
      <c r="Z71" s="427">
        <f t="shared" si="67"/>
        <v>2E-3</v>
      </c>
      <c r="AA71" s="427">
        <f t="shared" si="67"/>
        <v>2E-3</v>
      </c>
      <c r="AB71" s="30"/>
      <c r="AC71" s="30"/>
      <c r="AD71" s="30"/>
    </row>
    <row r="72" spans="3:30" outlineLevel="1" x14ac:dyDescent="0.2">
      <c r="C72" s="30" t="s">
        <v>53</v>
      </c>
      <c r="D72" s="2" t="s">
        <v>41</v>
      </c>
      <c r="E72" s="224">
        <f t="shared" ref="E72:K72" si="68">-E153/E29*Units</f>
        <v>0.94192476755727506</v>
      </c>
      <c r="F72" s="224">
        <f t="shared" si="68"/>
        <v>0.77823928983790425</v>
      </c>
      <c r="G72" s="224">
        <f t="shared" si="68"/>
        <v>0.96678288024297909</v>
      </c>
      <c r="H72" s="224">
        <f t="shared" si="68"/>
        <v>1.5114760216458294</v>
      </c>
      <c r="I72" s="224">
        <f t="shared" si="68"/>
        <v>0.90257171117705237</v>
      </c>
      <c r="J72" s="224">
        <f t="shared" si="68"/>
        <v>0.30087094220110844</v>
      </c>
      <c r="K72" s="224">
        <f t="shared" si="68"/>
        <v>0.72038965205471461</v>
      </c>
      <c r="L72" s="40">
        <v>0.68</v>
      </c>
      <c r="M72" s="40">
        <v>0.73</v>
      </c>
      <c r="N72" s="40">
        <v>0.63</v>
      </c>
      <c r="O72" s="40">
        <v>0.8</v>
      </c>
      <c r="P72" s="40">
        <v>0.75</v>
      </c>
      <c r="Q72" s="40">
        <v>0.9</v>
      </c>
      <c r="R72" s="40">
        <v>0.93</v>
      </c>
      <c r="S72" s="30"/>
      <c r="T72" s="224">
        <f t="shared" ref="T72:AA72" si="69">-T153/T29*Units</f>
        <v>0.84786654718411802</v>
      </c>
      <c r="U72" s="224">
        <f t="shared" si="69"/>
        <v>1.1061594779563901</v>
      </c>
      <c r="V72" s="224">
        <f t="shared" si="69"/>
        <v>0.44680340650113948</v>
      </c>
      <c r="W72" s="224">
        <f t="shared" si="69"/>
        <v>0.69683061703187865</v>
      </c>
      <c r="X72" s="224">
        <f t="shared" si="69"/>
        <v>0.67167061654573956</v>
      </c>
      <c r="Y72" s="224">
        <f t="shared" si="69"/>
        <v>0.77135430128454663</v>
      </c>
      <c r="Z72" s="224">
        <f t="shared" si="69"/>
        <v>0.89999999999999991</v>
      </c>
      <c r="AA72" s="224">
        <f t="shared" si="69"/>
        <v>0.93</v>
      </c>
      <c r="AB72" s="30"/>
      <c r="AC72" s="30"/>
      <c r="AD72" s="30"/>
    </row>
    <row r="73" spans="3:30" outlineLevel="1" x14ac:dyDescent="0.2">
      <c r="C73" s="30" t="s">
        <v>54</v>
      </c>
      <c r="D73" s="2" t="s">
        <v>41</v>
      </c>
      <c r="E73" s="224">
        <f t="shared" ref="E73:K73" si="70">-E155/E29*Units</f>
        <v>0.14179512629894464</v>
      </c>
      <c r="F73" s="224">
        <f t="shared" si="70"/>
        <v>8.5471367092024172E-2</v>
      </c>
      <c r="G73" s="224">
        <f t="shared" si="70"/>
        <v>8.341710692361988E-2</v>
      </c>
      <c r="H73" s="224">
        <f t="shared" si="70"/>
        <v>0.17416184611556881</v>
      </c>
      <c r="I73" s="224">
        <f t="shared" si="70"/>
        <v>0.11127596439169139</v>
      </c>
      <c r="J73" s="224">
        <f t="shared" si="70"/>
        <v>0.58194774346793354</v>
      </c>
      <c r="K73" s="224">
        <f t="shared" si="70"/>
        <v>0.16332720856301222</v>
      </c>
      <c r="L73" s="40">
        <v>0.2</v>
      </c>
      <c r="M73" s="40">
        <v>0.25</v>
      </c>
      <c r="N73" s="40">
        <v>0.23</v>
      </c>
      <c r="O73" s="40">
        <v>0.27</v>
      </c>
      <c r="P73" s="40">
        <v>0.25</v>
      </c>
      <c r="Q73" s="40">
        <v>0.28000000000000003</v>
      </c>
      <c r="R73" s="40">
        <v>0.3</v>
      </c>
      <c r="S73" s="30"/>
      <c r="T73" s="224">
        <f t="shared" ref="T73:AA73" si="71">-T155/T29*Units</f>
        <v>0.109429930378438</v>
      </c>
      <c r="U73" s="224">
        <f t="shared" si="71"/>
        <v>0.10663695686773833</v>
      </c>
      <c r="V73" s="224">
        <f t="shared" si="71"/>
        <v>0.46779417056495143</v>
      </c>
      <c r="W73" s="224">
        <f t="shared" si="71"/>
        <v>0.184718221703674</v>
      </c>
      <c r="X73" s="224">
        <f t="shared" si="71"/>
        <v>0.23833412330914791</v>
      </c>
      <c r="Y73" s="224">
        <f t="shared" si="71"/>
        <v>0.25854172051381863</v>
      </c>
      <c r="Z73" s="224">
        <f t="shared" si="71"/>
        <v>0.28000000000000003</v>
      </c>
      <c r="AA73" s="224">
        <f t="shared" si="71"/>
        <v>0.3</v>
      </c>
      <c r="AB73" s="30"/>
      <c r="AC73" s="30"/>
      <c r="AD73" s="30"/>
    </row>
    <row r="74" spans="3:30" outlineLevel="1" x14ac:dyDescent="0.2">
      <c r="C74" s="30"/>
      <c r="D74" s="30"/>
      <c r="E74" s="30"/>
      <c r="F74" s="30"/>
      <c r="G74" s="30"/>
      <c r="H74" s="30"/>
      <c r="I74" s="30"/>
      <c r="J74" s="30"/>
      <c r="K74" s="224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spans="3:30" outlineLevel="1" x14ac:dyDescent="0.2">
      <c r="C75" s="30" t="s">
        <v>55</v>
      </c>
      <c r="D75" s="2" t="s">
        <v>13</v>
      </c>
      <c r="E75" s="427"/>
      <c r="F75" s="427">
        <f>-F161/SUM(E143:F143)</f>
        <v>0</v>
      </c>
      <c r="G75" s="427">
        <f t="shared" ref="G75:K75" si="72">-G161/SUM(F143:G143)</f>
        <v>0.71604938271604934</v>
      </c>
      <c r="H75" s="427">
        <f t="shared" si="72"/>
        <v>0</v>
      </c>
      <c r="I75" s="427">
        <f t="shared" si="72"/>
        <v>0</v>
      </c>
      <c r="J75" s="427">
        <f t="shared" si="72"/>
        <v>0</v>
      </c>
      <c r="K75" s="427">
        <f t="shared" si="72"/>
        <v>0</v>
      </c>
      <c r="L75" s="38">
        <v>0</v>
      </c>
      <c r="M75" s="38">
        <v>0.5</v>
      </c>
      <c r="N75" s="38">
        <v>0</v>
      </c>
      <c r="O75" s="38">
        <v>0.5</v>
      </c>
      <c r="P75" s="38">
        <v>0</v>
      </c>
      <c r="Q75" s="38">
        <v>0.5</v>
      </c>
      <c r="R75" s="38">
        <v>0.5</v>
      </c>
      <c r="S75" s="30"/>
      <c r="T75" s="427">
        <f>-T161/T143</f>
        <v>0.66762177650429799</v>
      </c>
      <c r="U75" s="427">
        <f t="shared" ref="U75:AA75" si="73">-U161/U143</f>
        <v>-0.16126042632066728</v>
      </c>
      <c r="V75" s="427">
        <f t="shared" si="73"/>
        <v>0</v>
      </c>
      <c r="W75" s="427">
        <f t="shared" si="73"/>
        <v>0</v>
      </c>
      <c r="X75" s="427">
        <f t="shared" si="73"/>
        <v>0</v>
      </c>
      <c r="Y75" s="427">
        <f t="shared" si="73"/>
        <v>0.22715452867670938</v>
      </c>
      <c r="Z75" s="427">
        <f t="shared" si="73"/>
        <v>0.5</v>
      </c>
      <c r="AA75" s="427">
        <f t="shared" si="73"/>
        <v>0.5</v>
      </c>
      <c r="AB75" s="30"/>
      <c r="AC75" s="30"/>
      <c r="AD75" s="30"/>
    </row>
    <row r="76" spans="3:30" outlineLevel="1" x14ac:dyDescent="0.2">
      <c r="C76" s="30" t="s">
        <v>56</v>
      </c>
      <c r="D76" s="2" t="s">
        <v>13</v>
      </c>
      <c r="E76" s="427">
        <f>E162/E94</f>
        <v>1.7072129748186087E-3</v>
      </c>
      <c r="F76" s="427">
        <f>F162/F94</f>
        <v>7.4220682830282035E-4</v>
      </c>
      <c r="G76" s="427">
        <f t="shared" ref="G76:K76" si="74">G162/G94</f>
        <v>0</v>
      </c>
      <c r="H76" s="427">
        <f t="shared" si="74"/>
        <v>-2.3923444976076555E-2</v>
      </c>
      <c r="I76" s="427">
        <f t="shared" si="74"/>
        <v>2.5000000000000001E-2</v>
      </c>
      <c r="J76" s="427">
        <f t="shared" si="74"/>
        <v>-8.2101806239737272E-4</v>
      </c>
      <c r="K76" s="427">
        <f t="shared" si="74"/>
        <v>6.0080106809078772E-3</v>
      </c>
      <c r="L76" s="47">
        <f>AVERAGE(E76:K76)</f>
        <v>1.2447096350793399E-3</v>
      </c>
      <c r="M76" s="47">
        <f>L76</f>
        <v>1.2447096350793399E-3</v>
      </c>
      <c r="N76" s="47">
        <f t="shared" ref="N76:R76" si="75">M76</f>
        <v>1.2447096350793399E-3</v>
      </c>
      <c r="O76" s="47">
        <f t="shared" si="75"/>
        <v>1.2447096350793399E-3</v>
      </c>
      <c r="P76" s="47">
        <f t="shared" si="75"/>
        <v>1.2447096350793399E-3</v>
      </c>
      <c r="Q76" s="47">
        <f t="shared" si="75"/>
        <v>1.2447096350793399E-3</v>
      </c>
      <c r="R76" s="47">
        <f t="shared" si="75"/>
        <v>1.2447096350793399E-3</v>
      </c>
      <c r="S76" s="30"/>
      <c r="T76" s="427">
        <f t="shared" ref="T76:AA76" si="76">T162/T94</f>
        <v>1.096319498825372E-3</v>
      </c>
      <c r="U76" s="427">
        <f t="shared" si="76"/>
        <v>-4.9850448654037887E-3</v>
      </c>
      <c r="V76" s="427">
        <f t="shared" si="76"/>
        <v>3.4293552812071329E-3</v>
      </c>
      <c r="W76" s="427">
        <f t="shared" si="76"/>
        <v>2.9642264992941923E-3</v>
      </c>
      <c r="X76" s="427">
        <f t="shared" si="76"/>
        <v>1.2447096350793401E-3</v>
      </c>
      <c r="Y76" s="427">
        <f t="shared" si="76"/>
        <v>1.2447096350793401E-3</v>
      </c>
      <c r="Z76" s="427">
        <f t="shared" si="76"/>
        <v>1.2447096350793399E-3</v>
      </c>
      <c r="AA76" s="427">
        <f t="shared" si="76"/>
        <v>1.2447096350793399E-3</v>
      </c>
      <c r="AB76" s="30"/>
      <c r="AC76" s="30"/>
      <c r="AD76" s="30"/>
    </row>
    <row r="77" spans="3:30" outlineLevel="1" x14ac:dyDescent="0.2">
      <c r="C77" s="30" t="s">
        <v>57</v>
      </c>
      <c r="D77" s="2" t="s">
        <v>41</v>
      </c>
      <c r="E77" s="224">
        <f t="shared" ref="E77:K77" si="77">-E164/E29*Units</f>
        <v>0.17217979622014706</v>
      </c>
      <c r="F77" s="224">
        <f t="shared" si="77"/>
        <v>0.1334552924770202</v>
      </c>
      <c r="G77" s="224">
        <f t="shared" si="77"/>
        <v>0.23741791970568735</v>
      </c>
      <c r="H77" s="224">
        <f t="shared" si="77"/>
        <v>0.74018784599116749</v>
      </c>
      <c r="I77" s="224">
        <f t="shared" si="77"/>
        <v>2.1513353115727005</v>
      </c>
      <c r="J77" s="224">
        <f t="shared" si="77"/>
        <v>0.34441805225653205</v>
      </c>
      <c r="K77" s="224">
        <f t="shared" si="77"/>
        <v>0.26832327121066296</v>
      </c>
      <c r="L77" s="40">
        <v>0.2</v>
      </c>
      <c r="M77" s="40">
        <v>0.2</v>
      </c>
      <c r="N77" s="40">
        <v>0.2</v>
      </c>
      <c r="O77" s="40">
        <v>0.2</v>
      </c>
      <c r="P77" s="40">
        <v>0.21</v>
      </c>
      <c r="Q77" s="40">
        <v>0.22</v>
      </c>
      <c r="R77" s="40">
        <v>0.22</v>
      </c>
      <c r="S77" s="30"/>
      <c r="T77" s="224">
        <f t="shared" ref="T77:AA77" si="78">-T164/T29*Units</f>
        <v>0.14992762114841113</v>
      </c>
      <c r="U77" s="224">
        <f t="shared" si="78"/>
        <v>0.36606716536686296</v>
      </c>
      <c r="V77" s="224">
        <f t="shared" si="78"/>
        <v>0.78265563152213025</v>
      </c>
      <c r="W77" s="224">
        <f t="shared" si="78"/>
        <v>0.22847072835770105</v>
      </c>
      <c r="X77" s="224">
        <f t="shared" si="78"/>
        <v>0.2</v>
      </c>
      <c r="Y77" s="224">
        <f t="shared" si="78"/>
        <v>0.20572913974309071</v>
      </c>
      <c r="Z77" s="224">
        <f t="shared" si="78"/>
        <v>0.22</v>
      </c>
      <c r="AA77" s="224">
        <f t="shared" si="78"/>
        <v>0.22</v>
      </c>
      <c r="AB77" s="30"/>
      <c r="AC77" s="30"/>
      <c r="AD77" s="30"/>
    </row>
    <row r="78" spans="3:30" outlineLevel="1" x14ac:dyDescent="0.2">
      <c r="C78" s="30" t="s">
        <v>58</v>
      </c>
      <c r="D78" s="2" t="s">
        <v>13</v>
      </c>
      <c r="E78" s="427">
        <f>E167/E94</f>
        <v>4.2680324370465217E-4</v>
      </c>
      <c r="F78" s="427">
        <f>F167/F94</f>
        <v>1.2122711528946067E-2</v>
      </c>
      <c r="G78" s="427">
        <f t="shared" ref="G78:K78" si="79">G167/G94</f>
        <v>-7.97649034424853E-3</v>
      </c>
      <c r="H78" s="427">
        <f t="shared" si="79"/>
        <v>-6.6985645933014357E-2</v>
      </c>
      <c r="I78" s="427">
        <f t="shared" si="79"/>
        <v>-0.47499999999999998</v>
      </c>
      <c r="J78" s="427">
        <f t="shared" si="79"/>
        <v>3.3661740558292283E-2</v>
      </c>
      <c r="K78" s="427">
        <f t="shared" si="79"/>
        <v>1.2683578104138851E-2</v>
      </c>
      <c r="L78" s="38">
        <v>0.01</v>
      </c>
      <c r="M78" s="47">
        <f>L78</f>
        <v>0.01</v>
      </c>
      <c r="N78" s="47">
        <f t="shared" ref="N78:R78" si="80">M78</f>
        <v>0.01</v>
      </c>
      <c r="O78" s="47">
        <f t="shared" si="80"/>
        <v>0.01</v>
      </c>
      <c r="P78" s="47">
        <f t="shared" si="80"/>
        <v>0.01</v>
      </c>
      <c r="Q78" s="47">
        <f t="shared" si="80"/>
        <v>0.01</v>
      </c>
      <c r="R78" s="47">
        <f t="shared" si="80"/>
        <v>0.01</v>
      </c>
      <c r="S78" s="30"/>
      <c r="T78" s="427">
        <f t="shared" ref="T78:AA78" si="81">T167/T94</f>
        <v>7.8308535630383716E-3</v>
      </c>
      <c r="U78" s="427">
        <f t="shared" si="81"/>
        <v>-2.0272515785975408E-2</v>
      </c>
      <c r="V78" s="427">
        <f t="shared" si="81"/>
        <v>-5.0068587105624146E-2</v>
      </c>
      <c r="W78" s="427">
        <f t="shared" si="81"/>
        <v>1.0968752082244642E-2</v>
      </c>
      <c r="X78" s="427">
        <f t="shared" si="81"/>
        <v>0.01</v>
      </c>
      <c r="Y78" s="427">
        <f t="shared" si="81"/>
        <v>0.01</v>
      </c>
      <c r="Z78" s="427">
        <f t="shared" si="81"/>
        <v>0.01</v>
      </c>
      <c r="AA78" s="427">
        <f t="shared" si="81"/>
        <v>0.01</v>
      </c>
      <c r="AB78" s="30"/>
      <c r="AC78" s="30"/>
      <c r="AD78" s="30"/>
    </row>
    <row r="79" spans="3:30" outlineLevel="1" x14ac:dyDescent="0.2">
      <c r="C79" s="30"/>
      <c r="D79" s="30"/>
      <c r="E79" s="30"/>
      <c r="F79" s="30"/>
      <c r="G79" s="30"/>
      <c r="H79" s="30"/>
      <c r="I79" s="30"/>
      <c r="J79" s="30"/>
      <c r="K79" s="427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spans="3:30" outlineLevel="1" x14ac:dyDescent="0.2">
      <c r="C80" s="30" t="s">
        <v>59</v>
      </c>
      <c r="D80" s="2" t="s">
        <v>35</v>
      </c>
      <c r="E80" s="30"/>
      <c r="F80" s="30"/>
      <c r="G80" s="30"/>
      <c r="H80" s="30"/>
      <c r="I80" s="30"/>
      <c r="J80" s="30"/>
      <c r="K80" s="33">
        <f>425/K61</f>
        <v>1878.7698412698412</v>
      </c>
      <c r="L80" s="34">
        <f>K83</f>
        <v>2435.769841269841</v>
      </c>
      <c r="M80" s="34">
        <f t="shared" ref="M80:R80" si="82">L83</f>
        <v>2319.9969162698412</v>
      </c>
      <c r="N80" s="34">
        <f t="shared" si="82"/>
        <v>2617.8105210390318</v>
      </c>
      <c r="O80" s="34">
        <f t="shared" si="82"/>
        <v>2164.3109237857525</v>
      </c>
      <c r="P80" s="34">
        <f t="shared" si="82"/>
        <v>2451.2587712555592</v>
      </c>
      <c r="Q80" s="34">
        <f t="shared" si="82"/>
        <v>1797.7064128527738</v>
      </c>
      <c r="R80" s="34">
        <f t="shared" si="82"/>
        <v>1325.3969317643546</v>
      </c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spans="2:30" outlineLevel="1" x14ac:dyDescent="0.2">
      <c r="B81" s="30"/>
      <c r="C81" s="31" t="s">
        <v>60</v>
      </c>
      <c r="D81" s="2" t="s">
        <v>35</v>
      </c>
      <c r="E81" s="30"/>
      <c r="F81" s="30"/>
      <c r="G81" s="30"/>
      <c r="H81" s="30"/>
      <c r="I81" s="30"/>
      <c r="J81" s="30"/>
      <c r="K81" s="33">
        <f>MAX(0,-K112)</f>
        <v>557</v>
      </c>
      <c r="L81" s="33">
        <f>MAX(0,-L112)</f>
        <v>0</v>
      </c>
      <c r="M81" s="33">
        <f t="shared" ref="M81:R81" si="83">MAX(0,-M112)</f>
        <v>297.81360476919048</v>
      </c>
      <c r="N81" s="33">
        <f t="shared" si="83"/>
        <v>0</v>
      </c>
      <c r="O81" s="33">
        <f t="shared" si="83"/>
        <v>286.94784746980662</v>
      </c>
      <c r="P81" s="33">
        <f t="shared" si="83"/>
        <v>0</v>
      </c>
      <c r="Q81" s="33">
        <f t="shared" si="83"/>
        <v>0</v>
      </c>
      <c r="R81" s="33">
        <f t="shared" si="83"/>
        <v>0</v>
      </c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spans="2:30" outlineLevel="1" x14ac:dyDescent="0.2">
      <c r="B82" s="30"/>
      <c r="C82" s="31" t="s">
        <v>61</v>
      </c>
      <c r="D82" s="21" t="s">
        <v>35</v>
      </c>
      <c r="E82" s="30"/>
      <c r="F82" s="30"/>
      <c r="G82" s="30"/>
      <c r="H82" s="30"/>
      <c r="I82" s="30"/>
      <c r="J82" s="30"/>
      <c r="K82" s="62">
        <f t="shared" ref="K82:R82" si="84">-MIN(K80+K81,MAX(K112,0))</f>
        <v>0</v>
      </c>
      <c r="L82" s="62">
        <f t="shared" si="84"/>
        <v>-115.7729249999998</v>
      </c>
      <c r="M82" s="62">
        <f t="shared" si="84"/>
        <v>0</v>
      </c>
      <c r="N82" s="62">
        <f t="shared" si="84"/>
        <v>-453.49959725327926</v>
      </c>
      <c r="O82" s="62">
        <f t="shared" si="84"/>
        <v>0</v>
      </c>
      <c r="P82" s="62">
        <f t="shared" si="84"/>
        <v>-653.55235840278533</v>
      </c>
      <c r="Q82" s="62">
        <f t="shared" si="84"/>
        <v>-472.30948108841915</v>
      </c>
      <c r="R82" s="62">
        <f t="shared" si="84"/>
        <v>-617.75016699958667</v>
      </c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spans="2:30" outlineLevel="1" x14ac:dyDescent="0.2">
      <c r="B83" s="30"/>
      <c r="C83" s="20" t="s">
        <v>62</v>
      </c>
      <c r="D83" s="2" t="s">
        <v>35</v>
      </c>
      <c r="E83" s="430"/>
      <c r="F83" s="430"/>
      <c r="G83" s="430"/>
      <c r="H83" s="430"/>
      <c r="I83" s="430"/>
      <c r="J83" s="430"/>
      <c r="K83" s="29">
        <f>SUM(K80:K82)</f>
        <v>2435.769841269841</v>
      </c>
      <c r="L83" s="29">
        <f>SUM(L80:L82)</f>
        <v>2319.9969162698412</v>
      </c>
      <c r="M83" s="29">
        <f t="shared" ref="M83:R83" si="85">SUM(M80:M82)</f>
        <v>2617.8105210390318</v>
      </c>
      <c r="N83" s="29">
        <f t="shared" si="85"/>
        <v>2164.3109237857525</v>
      </c>
      <c r="O83" s="29">
        <f t="shared" si="85"/>
        <v>2451.2587712555592</v>
      </c>
      <c r="P83" s="29">
        <f t="shared" si="85"/>
        <v>1797.7064128527738</v>
      </c>
      <c r="Q83" s="29">
        <f t="shared" si="85"/>
        <v>1325.3969317643546</v>
      </c>
      <c r="R83" s="29">
        <f t="shared" si="85"/>
        <v>707.64676476476791</v>
      </c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spans="2:30" outlineLevel="1" x14ac:dyDescent="0.2">
      <c r="B84" s="30"/>
      <c r="C84" s="30"/>
      <c r="D84" s="30"/>
      <c r="E84" s="30"/>
      <c r="F84" s="30"/>
      <c r="G84" s="30"/>
      <c r="H84" s="30"/>
      <c r="I84" s="30"/>
      <c r="J84" s="30"/>
      <c r="K84" s="427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spans="2:30" outlineLevel="1" x14ac:dyDescent="0.2">
      <c r="B85" s="30"/>
      <c r="C85" s="19" t="s">
        <v>63</v>
      </c>
      <c r="D85" s="2" t="s">
        <v>35</v>
      </c>
      <c r="E85" s="30"/>
      <c r="F85" s="30"/>
      <c r="G85" s="30"/>
      <c r="H85" s="30"/>
      <c r="I85" s="30"/>
      <c r="J85" s="30"/>
      <c r="K85" s="33"/>
      <c r="L85" s="29">
        <f t="shared" ref="L85:R85" si="86">L112+L82</f>
        <v>0</v>
      </c>
      <c r="M85" s="29">
        <f t="shared" si="86"/>
        <v>-297.81360476919048</v>
      </c>
      <c r="N85" s="29">
        <f t="shared" si="86"/>
        <v>0</v>
      </c>
      <c r="O85" s="29">
        <f t="shared" si="86"/>
        <v>-286.94784746980662</v>
      </c>
      <c r="P85" s="29">
        <f t="shared" si="86"/>
        <v>0</v>
      </c>
      <c r="Q85" s="29">
        <f t="shared" si="86"/>
        <v>0</v>
      </c>
      <c r="R85" s="29">
        <f t="shared" si="86"/>
        <v>0</v>
      </c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spans="2:30" outlineLevel="1" x14ac:dyDescent="0.2">
      <c r="B86" s="30"/>
      <c r="C86" s="30"/>
      <c r="D86" s="30"/>
      <c r="E86" s="30"/>
      <c r="F86" s="30"/>
      <c r="G86" s="30"/>
      <c r="H86" s="30"/>
      <c r="I86" s="30"/>
      <c r="J86" s="30"/>
      <c r="K86" s="427"/>
      <c r="L86" s="30"/>
      <c r="M86" s="30"/>
      <c r="N86" s="30"/>
      <c r="O86" s="30"/>
      <c r="P86" s="30"/>
      <c r="Q86" s="30"/>
      <c r="R86" s="30"/>
      <c r="S86" s="30"/>
      <c r="T86" s="30"/>
      <c r="U86" s="431"/>
      <c r="V86" s="30"/>
      <c r="W86" s="30"/>
      <c r="X86" s="30"/>
      <c r="Y86" s="30"/>
      <c r="Z86" s="30"/>
      <c r="AA86" s="30"/>
      <c r="AB86" s="30"/>
      <c r="AC86" s="30"/>
      <c r="AD86" s="30"/>
    </row>
    <row r="87" spans="2:30" outlineLevel="1" x14ac:dyDescent="0.2">
      <c r="B87" s="30"/>
      <c r="C87" s="30" t="s">
        <v>64</v>
      </c>
      <c r="D87" s="2" t="s">
        <v>35</v>
      </c>
      <c r="E87" s="30"/>
      <c r="F87" s="30"/>
      <c r="G87" s="30"/>
      <c r="H87" s="30"/>
      <c r="I87" s="30"/>
      <c r="J87" s="30"/>
      <c r="K87" s="33"/>
      <c r="L87" s="33">
        <f>-MAX(L85,0)*L61</f>
        <v>0</v>
      </c>
      <c r="M87" s="33">
        <f t="shared" ref="M87:R87" si="87">-MAX(M85,0)*M61</f>
        <v>0</v>
      </c>
      <c r="N87" s="33">
        <f t="shared" si="87"/>
        <v>0</v>
      </c>
      <c r="O87" s="33">
        <f t="shared" si="87"/>
        <v>0</v>
      </c>
      <c r="P87" s="33">
        <f t="shared" si="87"/>
        <v>0</v>
      </c>
      <c r="Q87" s="33">
        <f t="shared" si="87"/>
        <v>0</v>
      </c>
      <c r="R87" s="33">
        <f t="shared" si="87"/>
        <v>0</v>
      </c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spans="2:30" outlineLevel="1" x14ac:dyDescent="0.2">
      <c r="B88" s="30"/>
      <c r="C88" s="30"/>
      <c r="D88" s="30"/>
      <c r="E88" s="30"/>
      <c r="F88" s="30"/>
      <c r="G88" s="30"/>
      <c r="H88" s="30"/>
      <c r="I88" s="30"/>
      <c r="J88" s="30"/>
      <c r="K88" s="4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431"/>
      <c r="AA88" s="30"/>
      <c r="AB88" s="30"/>
      <c r="AC88" s="30"/>
      <c r="AD88" s="30"/>
    </row>
    <row r="89" spans="2:30" outlineLevel="1" x14ac:dyDescent="0.2">
      <c r="B89" s="30"/>
      <c r="C89" s="19" t="s">
        <v>65</v>
      </c>
      <c r="D89" s="2" t="s">
        <v>35</v>
      </c>
      <c r="E89" s="30"/>
      <c r="F89" s="30"/>
      <c r="G89" s="30"/>
      <c r="H89" s="30"/>
      <c r="I89" s="30"/>
      <c r="J89" s="30"/>
      <c r="K89" s="33"/>
      <c r="L89" s="29">
        <f t="shared" ref="L89:R89" si="88">L87-L113</f>
        <v>21.996855749999963</v>
      </c>
      <c r="M89" s="29">
        <f t="shared" si="88"/>
        <v>-56.584584906146191</v>
      </c>
      <c r="N89" s="29">
        <f t="shared" si="88"/>
        <v>113.37489931331982</v>
      </c>
      <c r="O89" s="29">
        <f t="shared" si="88"/>
        <v>-71.736961867451654</v>
      </c>
      <c r="P89" s="29">
        <f t="shared" si="88"/>
        <v>163.38808960069633</v>
      </c>
      <c r="Q89" s="29">
        <f t="shared" si="88"/>
        <v>118.07737027210479</v>
      </c>
      <c r="R89" s="29">
        <f t="shared" si="88"/>
        <v>154.43754174989667</v>
      </c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spans="2:30" x14ac:dyDescent="0.2"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spans="2:30" x14ac:dyDescent="0.2">
      <c r="B91" s="6"/>
      <c r="C91" s="6"/>
      <c r="D91" s="6"/>
      <c r="E91" s="12" t="str">
        <f ca="1">$E$25</f>
        <v>Historical (Half-Years):</v>
      </c>
      <c r="F91" s="14"/>
      <c r="G91" s="14"/>
      <c r="H91" s="14"/>
      <c r="I91" s="14"/>
      <c r="J91" s="14"/>
      <c r="K91" s="15"/>
      <c r="L91" s="399"/>
      <c r="M91" s="14"/>
      <c r="N91" s="14"/>
      <c r="O91" s="14"/>
      <c r="P91" s="15"/>
      <c r="Q91" s="12" t="str">
        <f>$Q$25</f>
        <v>Projected (Annual):</v>
      </c>
      <c r="R91" s="14"/>
      <c r="S91" s="30"/>
      <c r="T91" s="12" t="str">
        <f>$T$25</f>
        <v>Historical:</v>
      </c>
      <c r="U91" s="14"/>
      <c r="V91" s="14"/>
      <c r="W91" s="407"/>
      <c r="X91" s="406"/>
      <c r="Y91" s="406"/>
      <c r="Z91" s="12" t="str">
        <f>$Q$25</f>
        <v>Projected (Annual):</v>
      </c>
      <c r="AA91" s="12"/>
      <c r="AB91" s="30"/>
      <c r="AC91" s="30"/>
      <c r="AD91" s="30"/>
    </row>
    <row r="92" spans="2:30" x14ac:dyDescent="0.2">
      <c r="B92" s="7" t="s">
        <v>66</v>
      </c>
      <c r="C92" s="8"/>
      <c r="D92" s="9" t="str">
        <f>$D$5</f>
        <v>Units:</v>
      </c>
      <c r="E92" s="13">
        <f>$E$26</f>
        <v>43555</v>
      </c>
      <c r="F92" s="16">
        <f>$F$26</f>
        <v>43738</v>
      </c>
      <c r="G92" s="13">
        <f>$G$26</f>
        <v>43921</v>
      </c>
      <c r="H92" s="16">
        <f>$H$26</f>
        <v>44104</v>
      </c>
      <c r="I92" s="13">
        <f>$I$26</f>
        <v>44286</v>
      </c>
      <c r="J92" s="16">
        <f>$J$26</f>
        <v>44469</v>
      </c>
      <c r="K92" s="409">
        <f>$K$26</f>
        <v>44651</v>
      </c>
      <c r="L92" s="410">
        <f>$L$26</f>
        <v>44834</v>
      </c>
      <c r="M92" s="13">
        <f>$M$26</f>
        <v>45016</v>
      </c>
      <c r="N92" s="16">
        <f>$N$26</f>
        <v>45199</v>
      </c>
      <c r="O92" s="13">
        <f>$O$26</f>
        <v>45382</v>
      </c>
      <c r="P92" s="65">
        <f>$P$26</f>
        <v>45565</v>
      </c>
      <c r="Q92" s="37">
        <f>$Q$26</f>
        <v>45930</v>
      </c>
      <c r="R92" s="37">
        <f>$R$26</f>
        <v>46295</v>
      </c>
      <c r="S92" s="30"/>
      <c r="T92" s="37">
        <f>$T$26</f>
        <v>43738</v>
      </c>
      <c r="U92" s="37">
        <f>$U$26</f>
        <v>44104</v>
      </c>
      <c r="V92" s="37">
        <f>$V$26</f>
        <v>44469</v>
      </c>
      <c r="W92" s="408">
        <f>$W$26</f>
        <v>44834</v>
      </c>
      <c r="X92" s="37">
        <f>$X$26</f>
        <v>45199</v>
      </c>
      <c r="Y92" s="37">
        <f>$Y$26</f>
        <v>45565</v>
      </c>
      <c r="Z92" s="37">
        <f>$Z$26</f>
        <v>45930</v>
      </c>
      <c r="AA92" s="37">
        <f>$AA$26</f>
        <v>46295</v>
      </c>
      <c r="AB92" s="30"/>
      <c r="AC92" s="30"/>
      <c r="AD92" s="30"/>
    </row>
    <row r="93" spans="2:30" outlineLevel="1" x14ac:dyDescent="0.2">
      <c r="B93" s="30"/>
      <c r="C93" s="30"/>
      <c r="D93" s="30"/>
      <c r="E93" s="30"/>
      <c r="F93" s="30"/>
      <c r="G93" s="30"/>
      <c r="H93" s="30"/>
      <c r="I93" s="30"/>
      <c r="J93" s="30"/>
      <c r="K93" s="432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spans="2:30" outlineLevel="1" x14ac:dyDescent="0.2">
      <c r="B94" s="30"/>
      <c r="C94" s="19" t="s">
        <v>67</v>
      </c>
      <c r="D94" s="2" t="s">
        <v>35</v>
      </c>
      <c r="E94" s="22">
        <f t="shared" ref="E94:R94" si="89">E43+E46</f>
        <v>2343</v>
      </c>
      <c r="F94" s="22">
        <f t="shared" si="89"/>
        <v>4042</v>
      </c>
      <c r="G94" s="22">
        <f t="shared" si="89"/>
        <v>2382</v>
      </c>
      <c r="H94" s="22">
        <f t="shared" si="89"/>
        <v>627</v>
      </c>
      <c r="I94" s="22">
        <f t="shared" si="89"/>
        <v>240</v>
      </c>
      <c r="J94" s="22">
        <f t="shared" si="89"/>
        <v>1218</v>
      </c>
      <c r="K94" s="22">
        <f t="shared" si="89"/>
        <v>1498</v>
      </c>
      <c r="L94" s="22">
        <f t="shared" si="89"/>
        <v>2651.6684999999998</v>
      </c>
      <c r="M94" s="22">
        <f t="shared" si="89"/>
        <v>2276.0053469999998</v>
      </c>
      <c r="N94" s="22">
        <f t="shared" si="89"/>
        <v>3809.7637199999995</v>
      </c>
      <c r="O94" s="22">
        <f t="shared" si="89"/>
        <v>2725.7342111999997</v>
      </c>
      <c r="P94" s="22">
        <f t="shared" si="89"/>
        <v>4620.7663319999983</v>
      </c>
      <c r="Q94" s="22">
        <f t="shared" si="89"/>
        <v>8536.5020015624978</v>
      </c>
      <c r="R94" s="22">
        <f t="shared" si="89"/>
        <v>9845.6714261718716</v>
      </c>
      <c r="S94" s="30"/>
      <c r="T94" s="22">
        <f>SUMIF($E$23:$R$23,T$23,$E94:$R94)</f>
        <v>6385</v>
      </c>
      <c r="U94" s="22">
        <f t="shared" ref="U94:AA94" si="90">SUMIF($E$23:$R$23,U$23,$E94:$R94)</f>
        <v>3009</v>
      </c>
      <c r="V94" s="22">
        <f t="shared" si="90"/>
        <v>1458</v>
      </c>
      <c r="W94" s="22">
        <f t="shared" si="90"/>
        <v>4149.6684999999998</v>
      </c>
      <c r="X94" s="22">
        <f t="shared" si="90"/>
        <v>6085.7690669999993</v>
      </c>
      <c r="Y94" s="22">
        <f t="shared" si="90"/>
        <v>7346.500543199998</v>
      </c>
      <c r="Z94" s="22">
        <f t="shared" si="90"/>
        <v>8536.5020015624978</v>
      </c>
      <c r="AA94" s="22">
        <f t="shared" si="90"/>
        <v>9845.6714261718716</v>
      </c>
      <c r="AB94" s="30"/>
      <c r="AC94" s="30"/>
      <c r="AD94" s="30"/>
    </row>
    <row r="95" spans="2:30" outlineLevel="1" x14ac:dyDescent="0.2">
      <c r="B95" s="30"/>
      <c r="C95" s="31" t="s">
        <v>68</v>
      </c>
      <c r="D95" s="2" t="s">
        <v>35</v>
      </c>
      <c r="E95" s="5">
        <v>-1757</v>
      </c>
      <c r="F95" s="5">
        <v>-2242</v>
      </c>
      <c r="G95" s="5">
        <v>-1759</v>
      </c>
      <c r="H95" s="5">
        <v>-887</v>
      </c>
      <c r="I95" s="5">
        <v>-527</v>
      </c>
      <c r="J95" s="5">
        <v>-985</v>
      </c>
      <c r="K95" s="5">
        <v>-1357</v>
      </c>
      <c r="L95" s="33">
        <f t="shared" ref="L95:R95" si="91">-L51*L29/Units</f>
        <v>-1679.79</v>
      </c>
      <c r="M95" s="33">
        <f t="shared" si="91"/>
        <v>-1776.0666000000001</v>
      </c>
      <c r="N95" s="33">
        <f t="shared" si="91"/>
        <v>-2318.1102000000001</v>
      </c>
      <c r="O95" s="33">
        <f t="shared" si="91"/>
        <v>-2073.67776</v>
      </c>
      <c r="P95" s="33">
        <f t="shared" si="91"/>
        <v>-2704.4618999999993</v>
      </c>
      <c r="Q95" s="33">
        <f t="shared" si="91"/>
        <v>-5506.1698124999975</v>
      </c>
      <c r="R95" s="33">
        <f t="shared" si="91"/>
        <v>-6281.6866874999987</v>
      </c>
      <c r="S95" s="30"/>
      <c r="T95" s="33">
        <f t="shared" ref="T95:AA96" si="92">SUMIF($E$23:$R$23,T$23,$E95:$R95)</f>
        <v>-3999</v>
      </c>
      <c r="U95" s="33">
        <f t="shared" si="92"/>
        <v>-2646</v>
      </c>
      <c r="V95" s="33">
        <f t="shared" si="92"/>
        <v>-1512</v>
      </c>
      <c r="W95" s="33">
        <f t="shared" si="92"/>
        <v>-3036.79</v>
      </c>
      <c r="X95" s="33">
        <f t="shared" si="92"/>
        <v>-4094.1768000000002</v>
      </c>
      <c r="Y95" s="33">
        <f t="shared" si="92"/>
        <v>-4778.1396599999989</v>
      </c>
      <c r="Z95" s="33">
        <f t="shared" si="92"/>
        <v>-5506.1698124999975</v>
      </c>
      <c r="AA95" s="33">
        <f t="shared" si="92"/>
        <v>-6281.6866874999987</v>
      </c>
      <c r="AB95" s="30"/>
      <c r="AC95" s="30"/>
      <c r="AD95" s="30"/>
    </row>
    <row r="96" spans="2:30" outlineLevel="1" x14ac:dyDescent="0.2">
      <c r="B96" s="30"/>
      <c r="C96" s="31" t="s">
        <v>69</v>
      </c>
      <c r="D96" s="21" t="s">
        <v>35</v>
      </c>
      <c r="E96" s="5">
        <v>-602</v>
      </c>
      <c r="F96" s="5">
        <v>-814</v>
      </c>
      <c r="G96" s="5">
        <v>-534</v>
      </c>
      <c r="H96" s="5">
        <v>-187</v>
      </c>
      <c r="I96" s="5">
        <v>-97</v>
      </c>
      <c r="J96" s="5">
        <v>-274</v>
      </c>
      <c r="K96" s="5">
        <v>-362</v>
      </c>
      <c r="L96" s="33">
        <f t="shared" ref="L96:R96" si="93">-L53*L29/Units</f>
        <v>-527.93399999999997</v>
      </c>
      <c r="M96" s="33">
        <f t="shared" si="93"/>
        <v>-537.62016000000006</v>
      </c>
      <c r="N96" s="33">
        <f t="shared" si="93"/>
        <v>-752.54592000000002</v>
      </c>
      <c r="O96" s="33">
        <f t="shared" si="93"/>
        <v>-662.42484000000002</v>
      </c>
      <c r="P96" s="33">
        <f t="shared" si="93"/>
        <v>-927.24407999999983</v>
      </c>
      <c r="Q96" s="33">
        <f t="shared" si="93"/>
        <v>-1861.2404999999992</v>
      </c>
      <c r="R96" s="33">
        <f t="shared" si="93"/>
        <v>-2128.7938218749991</v>
      </c>
      <c r="S96" s="30"/>
      <c r="T96" s="33">
        <f t="shared" si="92"/>
        <v>-1416</v>
      </c>
      <c r="U96" s="33">
        <f t="shared" si="92"/>
        <v>-721</v>
      </c>
      <c r="V96" s="33">
        <f t="shared" si="92"/>
        <v>-371</v>
      </c>
      <c r="W96" s="33">
        <f t="shared" si="92"/>
        <v>-889.93399999999997</v>
      </c>
      <c r="X96" s="33">
        <f t="shared" si="92"/>
        <v>-1290.16608</v>
      </c>
      <c r="Y96" s="33">
        <f t="shared" si="92"/>
        <v>-1589.6689199999998</v>
      </c>
      <c r="Z96" s="33">
        <f t="shared" si="92"/>
        <v>-1861.2404999999992</v>
      </c>
      <c r="AA96" s="33">
        <f t="shared" si="92"/>
        <v>-2128.7938218749991</v>
      </c>
      <c r="AB96" s="30"/>
      <c r="AC96" s="30"/>
      <c r="AD96" s="30"/>
    </row>
    <row r="97" spans="3:30" outlineLevel="1" x14ac:dyDescent="0.2">
      <c r="C97" s="20" t="s">
        <v>70</v>
      </c>
      <c r="D97" s="2" t="s">
        <v>35</v>
      </c>
      <c r="E97" s="24">
        <f t="shared" ref="E97:H97" si="94">SUM(E94:E96)</f>
        <v>-16</v>
      </c>
      <c r="F97" s="24">
        <f t="shared" si="94"/>
        <v>986</v>
      </c>
      <c r="G97" s="24">
        <f t="shared" si="94"/>
        <v>89</v>
      </c>
      <c r="H97" s="24">
        <f t="shared" si="94"/>
        <v>-447</v>
      </c>
      <c r="I97" s="24">
        <f>SUM(I94:I96)</f>
        <v>-384</v>
      </c>
      <c r="J97" s="24">
        <f>SUM(J94:J96)</f>
        <v>-41</v>
      </c>
      <c r="K97" s="24">
        <f>SUM(K94:K96)</f>
        <v>-221</v>
      </c>
      <c r="L97" s="24">
        <f>SUM(L94:L96)</f>
        <v>443.94449999999983</v>
      </c>
      <c r="M97" s="24">
        <f t="shared" ref="M97:R97" si="95">SUM(M94:M96)</f>
        <v>-37.681413000000362</v>
      </c>
      <c r="N97" s="24">
        <f t="shared" si="95"/>
        <v>739.10759999999937</v>
      </c>
      <c r="O97" s="24">
        <f t="shared" si="95"/>
        <v>-10.368388800000389</v>
      </c>
      <c r="P97" s="24">
        <f t="shared" si="95"/>
        <v>989.06035199999917</v>
      </c>
      <c r="Q97" s="24">
        <f t="shared" si="95"/>
        <v>1169.091689062501</v>
      </c>
      <c r="R97" s="24">
        <f t="shared" si="95"/>
        <v>1435.1909167968738</v>
      </c>
      <c r="S97" s="30"/>
      <c r="T97" s="24">
        <f>SUM(T94:T96)</f>
        <v>970</v>
      </c>
      <c r="U97" s="24">
        <f t="shared" ref="U97:AA97" si="96">SUM(U94:U96)</f>
        <v>-358</v>
      </c>
      <c r="V97" s="24">
        <f t="shared" si="96"/>
        <v>-425</v>
      </c>
      <c r="W97" s="24">
        <f t="shared" si="96"/>
        <v>222.94449999999983</v>
      </c>
      <c r="X97" s="24">
        <f t="shared" si="96"/>
        <v>701.42618699999912</v>
      </c>
      <c r="Y97" s="24">
        <f t="shared" si="96"/>
        <v>978.69196319999924</v>
      </c>
      <c r="Z97" s="24">
        <f t="shared" si="96"/>
        <v>1169.091689062501</v>
      </c>
      <c r="AA97" s="24">
        <f t="shared" si="96"/>
        <v>1435.1909167968738</v>
      </c>
      <c r="AB97" s="30"/>
      <c r="AC97" s="30"/>
      <c r="AD97" s="30"/>
    </row>
    <row r="98" spans="3:30" outlineLevel="1" x14ac:dyDescent="0.2">
      <c r="C98" s="30"/>
      <c r="D98" s="30"/>
      <c r="E98"/>
      <c r="F98" s="26"/>
      <c r="G98"/>
      <c r="H98" s="27"/>
      <c r="I98" s="34"/>
      <c r="J98" s="25"/>
      <c r="K98" s="433"/>
      <c r="L98" s="30"/>
      <c r="M98" s="433"/>
      <c r="N98" s="30"/>
      <c r="O98" s="433"/>
      <c r="P98" s="30"/>
      <c r="Q98" s="433"/>
      <c r="R98" s="433"/>
      <c r="S98" s="30"/>
      <c r="T98" s="433"/>
      <c r="U98" s="433"/>
      <c r="V98" s="433"/>
      <c r="W98" s="433"/>
      <c r="X98" s="433"/>
      <c r="Y98" s="433"/>
      <c r="Z98" s="433"/>
      <c r="AA98" s="433"/>
      <c r="AB98" s="30"/>
      <c r="AC98" s="30"/>
      <c r="AD98" s="30"/>
    </row>
    <row r="99" spans="3:30" outlineLevel="1" x14ac:dyDescent="0.2">
      <c r="C99" s="19" t="s">
        <v>71</v>
      </c>
      <c r="D99" s="30"/>
      <c r="E99"/>
      <c r="F99" s="27"/>
      <c r="G99"/>
      <c r="H99" s="27"/>
      <c r="I99" s="34"/>
      <c r="J99" s="34"/>
      <c r="K99" s="34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spans="3:30" outlineLevel="1" x14ac:dyDescent="0.2">
      <c r="C100" s="31" t="s">
        <v>72</v>
      </c>
      <c r="D100" s="2" t="s">
        <v>35</v>
      </c>
      <c r="E100" s="5">
        <v>-115</v>
      </c>
      <c r="F100" s="5">
        <v>-132</v>
      </c>
      <c r="G100" s="5">
        <v>-123</v>
      </c>
      <c r="H100" s="5">
        <v>-106</v>
      </c>
      <c r="I100" s="5">
        <v>-93</v>
      </c>
      <c r="J100" s="5">
        <f>-222-I100</f>
        <v>-129</v>
      </c>
      <c r="K100" s="5">
        <v>-133</v>
      </c>
      <c r="L100" s="33">
        <f t="shared" ref="L100:R100" si="97">-L58*L29/Units</f>
        <v>-143.982</v>
      </c>
      <c r="M100" s="33">
        <f t="shared" si="97"/>
        <v>-120.00449999999999</v>
      </c>
      <c r="N100" s="33">
        <f t="shared" si="97"/>
        <v>-134.38319999999999</v>
      </c>
      <c r="O100" s="33">
        <f t="shared" si="97"/>
        <v>-132.48496799999998</v>
      </c>
      <c r="P100" s="33">
        <f t="shared" si="97"/>
        <v>-146.81364599999998</v>
      </c>
      <c r="Q100" s="33">
        <f t="shared" si="97"/>
        <v>-310.20674999999989</v>
      </c>
      <c r="R100" s="33">
        <f t="shared" si="97"/>
        <v>-348.98259374999986</v>
      </c>
      <c r="S100" s="30"/>
      <c r="T100" s="33">
        <f t="shared" ref="T100:AA102" si="98">SUMIF($E$23:$R$23,T$23,$E100:$R100)</f>
        <v>-247</v>
      </c>
      <c r="U100" s="33">
        <f t="shared" si="98"/>
        <v>-229</v>
      </c>
      <c r="V100" s="33">
        <f t="shared" si="98"/>
        <v>-222</v>
      </c>
      <c r="W100" s="33">
        <f t="shared" si="98"/>
        <v>-276.98199999999997</v>
      </c>
      <c r="X100" s="33">
        <f t="shared" si="98"/>
        <v>-254.3877</v>
      </c>
      <c r="Y100" s="33">
        <f t="shared" si="98"/>
        <v>-279.29861399999993</v>
      </c>
      <c r="Z100" s="33">
        <f t="shared" si="98"/>
        <v>-310.20674999999989</v>
      </c>
      <c r="AA100" s="33">
        <f t="shared" si="98"/>
        <v>-348.98259374999986</v>
      </c>
      <c r="AB100" s="30"/>
      <c r="AC100" s="30"/>
      <c r="AD100" s="30"/>
    </row>
    <row r="101" spans="3:30" outlineLevel="1" x14ac:dyDescent="0.2">
      <c r="C101" s="31" t="s">
        <v>73</v>
      </c>
      <c r="D101" s="2" t="s">
        <v>35</v>
      </c>
      <c r="E101" s="5">
        <v>0</v>
      </c>
      <c r="F101" s="5">
        <v>0</v>
      </c>
      <c r="G101" s="5">
        <v>0</v>
      </c>
      <c r="H101" s="5">
        <v>-37</v>
      </c>
      <c r="I101" s="5">
        <v>0</v>
      </c>
      <c r="J101" s="5">
        <v>0</v>
      </c>
      <c r="K101" s="5">
        <v>0</v>
      </c>
      <c r="L101" s="48">
        <v>0</v>
      </c>
      <c r="M101" s="49">
        <f>L101</f>
        <v>0</v>
      </c>
      <c r="N101" s="49">
        <f t="shared" ref="N101:R101" si="99">M101</f>
        <v>0</v>
      </c>
      <c r="O101" s="49">
        <f t="shared" si="99"/>
        <v>0</v>
      </c>
      <c r="P101" s="49">
        <f t="shared" si="99"/>
        <v>0</v>
      </c>
      <c r="Q101" s="49">
        <f t="shared" si="99"/>
        <v>0</v>
      </c>
      <c r="R101" s="49">
        <f t="shared" si="99"/>
        <v>0</v>
      </c>
      <c r="S101" s="30"/>
      <c r="T101" s="59">
        <f t="shared" si="98"/>
        <v>0</v>
      </c>
      <c r="U101" s="59">
        <f t="shared" si="98"/>
        <v>-37</v>
      </c>
      <c r="V101" s="59">
        <f t="shared" si="98"/>
        <v>0</v>
      </c>
      <c r="W101" s="59">
        <f t="shared" si="98"/>
        <v>0</v>
      </c>
      <c r="X101" s="59">
        <f t="shared" si="98"/>
        <v>0</v>
      </c>
      <c r="Y101" s="59">
        <f t="shared" si="98"/>
        <v>0</v>
      </c>
      <c r="Z101" s="59">
        <f t="shared" si="98"/>
        <v>0</v>
      </c>
      <c r="AA101" s="59">
        <f t="shared" si="98"/>
        <v>0</v>
      </c>
      <c r="AB101" s="30"/>
      <c r="AC101" s="30"/>
      <c r="AD101" s="30"/>
    </row>
    <row r="102" spans="3:30" outlineLevel="1" x14ac:dyDescent="0.2">
      <c r="C102" s="31" t="s">
        <v>74</v>
      </c>
      <c r="D102" s="21" t="s">
        <v>35</v>
      </c>
      <c r="E102" s="5">
        <v>-124</v>
      </c>
      <c r="F102" s="5">
        <v>-133</v>
      </c>
      <c r="G102" s="5">
        <v>-139</v>
      </c>
      <c r="H102" s="5">
        <v>-136</v>
      </c>
      <c r="I102" s="5">
        <f>-2-204-11-I100</f>
        <v>-124</v>
      </c>
      <c r="J102" s="5">
        <f>-5-456-24-I102-I100-J100</f>
        <v>-139</v>
      </c>
      <c r="K102" s="5">
        <f>-1-265-12-K100</f>
        <v>-145</v>
      </c>
      <c r="L102" s="33">
        <f t="shared" ref="L102:R102" si="100">-L59*L29/Units</f>
        <v>-158.3802</v>
      </c>
      <c r="M102" s="33">
        <f t="shared" si="100"/>
        <v>-134.40504000000001</v>
      </c>
      <c r="N102" s="33">
        <f t="shared" si="100"/>
        <v>-154.54067999999998</v>
      </c>
      <c r="O102" s="33">
        <f t="shared" si="100"/>
        <v>-149.76561599999999</v>
      </c>
      <c r="P102" s="33">
        <f t="shared" si="100"/>
        <v>-169.99474799999996</v>
      </c>
      <c r="Q102" s="33">
        <f t="shared" si="100"/>
        <v>-356.73776249999986</v>
      </c>
      <c r="R102" s="33">
        <f t="shared" si="100"/>
        <v>-401.32998281249985</v>
      </c>
      <c r="S102" s="30"/>
      <c r="T102" s="33">
        <f t="shared" si="98"/>
        <v>-257</v>
      </c>
      <c r="U102" s="33">
        <f t="shared" si="98"/>
        <v>-275</v>
      </c>
      <c r="V102" s="33">
        <f t="shared" si="98"/>
        <v>-263</v>
      </c>
      <c r="W102" s="33">
        <f t="shared" si="98"/>
        <v>-303.3802</v>
      </c>
      <c r="X102" s="33">
        <f t="shared" si="98"/>
        <v>-288.94571999999999</v>
      </c>
      <c r="Y102" s="33">
        <f t="shared" si="98"/>
        <v>-319.76036399999998</v>
      </c>
      <c r="Z102" s="33">
        <f t="shared" si="98"/>
        <v>-356.73776249999986</v>
      </c>
      <c r="AA102" s="33">
        <f t="shared" si="98"/>
        <v>-401.32998281249985</v>
      </c>
      <c r="AB102" s="30"/>
      <c r="AC102" s="30"/>
      <c r="AD102" s="30"/>
    </row>
    <row r="103" spans="3:30" outlineLevel="1" x14ac:dyDescent="0.2">
      <c r="C103" s="20" t="s">
        <v>75</v>
      </c>
      <c r="D103" s="2" t="s">
        <v>35</v>
      </c>
      <c r="E103" s="24">
        <f t="shared" ref="E103:H103" si="101">SUM(E100:E102)</f>
        <v>-239</v>
      </c>
      <c r="F103" s="24">
        <f t="shared" si="101"/>
        <v>-265</v>
      </c>
      <c r="G103" s="24">
        <f t="shared" si="101"/>
        <v>-262</v>
      </c>
      <c r="H103" s="24">
        <f t="shared" si="101"/>
        <v>-279</v>
      </c>
      <c r="I103" s="24">
        <f>SUM(I100:I102)</f>
        <v>-217</v>
      </c>
      <c r="J103" s="24">
        <f t="shared" ref="J103:K103" si="102">SUM(J100:J102)</f>
        <v>-268</v>
      </c>
      <c r="K103" s="24">
        <f t="shared" si="102"/>
        <v>-278</v>
      </c>
      <c r="L103" s="24">
        <f>SUM(L100:L102)</f>
        <v>-302.36220000000003</v>
      </c>
      <c r="M103" s="24">
        <f>SUM(M100:M102)</f>
        <v>-254.40953999999999</v>
      </c>
      <c r="N103" s="24">
        <f t="shared" ref="N103:R103" si="103">SUM(N100:N102)</f>
        <v>-288.92387999999994</v>
      </c>
      <c r="O103" s="24">
        <f t="shared" si="103"/>
        <v>-282.250584</v>
      </c>
      <c r="P103" s="24">
        <f t="shared" si="103"/>
        <v>-316.80839399999991</v>
      </c>
      <c r="Q103" s="24">
        <f t="shared" si="103"/>
        <v>-666.94451249999975</v>
      </c>
      <c r="R103" s="24">
        <f t="shared" si="103"/>
        <v>-750.31257656249977</v>
      </c>
      <c r="S103" s="30"/>
      <c r="T103" s="24">
        <f>SUM(T100:T102)</f>
        <v>-504</v>
      </c>
      <c r="U103" s="24">
        <f t="shared" ref="U103:AA103" si="104">SUM(U100:U102)</f>
        <v>-541</v>
      </c>
      <c r="V103" s="24">
        <f t="shared" si="104"/>
        <v>-485</v>
      </c>
      <c r="W103" s="24">
        <f t="shared" si="104"/>
        <v>-580.36220000000003</v>
      </c>
      <c r="X103" s="24">
        <f t="shared" si="104"/>
        <v>-543.33341999999993</v>
      </c>
      <c r="Y103" s="24">
        <f t="shared" si="104"/>
        <v>-599.05897799999991</v>
      </c>
      <c r="Z103" s="24">
        <f t="shared" si="104"/>
        <v>-666.94451249999975</v>
      </c>
      <c r="AA103" s="24">
        <f t="shared" si="104"/>
        <v>-750.31257656249977</v>
      </c>
      <c r="AB103" s="30"/>
      <c r="AC103" s="30"/>
      <c r="AD103" s="30"/>
    </row>
    <row r="104" spans="3:30" outlineLevel="1" x14ac:dyDescent="0.2">
      <c r="C104" s="30"/>
      <c r="D104"/>
      <c r="E104"/>
      <c r="F104"/>
      <c r="G104"/>
      <c r="H104" s="27"/>
      <c r="I104" s="34"/>
      <c r="J104" s="34"/>
      <c r="K104" s="34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spans="3:30" outlineLevel="1" x14ac:dyDescent="0.2">
      <c r="C105" s="19" t="s">
        <v>76</v>
      </c>
      <c r="D105" s="2" t="s">
        <v>35</v>
      </c>
      <c r="E105" s="25">
        <f t="shared" ref="E105:H105" si="105">E97+E103</f>
        <v>-255</v>
      </c>
      <c r="F105" s="25">
        <f t="shared" si="105"/>
        <v>721</v>
      </c>
      <c r="G105" s="25">
        <f t="shared" si="105"/>
        <v>-173</v>
      </c>
      <c r="H105" s="25">
        <f t="shared" si="105"/>
        <v>-726</v>
      </c>
      <c r="I105" s="25">
        <f>I97+I103</f>
        <v>-601</v>
      </c>
      <c r="J105" s="25">
        <f t="shared" ref="J105:L105" si="106">J97+J103</f>
        <v>-309</v>
      </c>
      <c r="K105" s="25">
        <f t="shared" si="106"/>
        <v>-499</v>
      </c>
      <c r="L105" s="25">
        <f t="shared" si="106"/>
        <v>141.5822999999998</v>
      </c>
      <c r="M105" s="25">
        <f t="shared" ref="M105:T105" si="107">M97+M103</f>
        <v>-292.09095300000035</v>
      </c>
      <c r="N105" s="25">
        <f t="shared" si="107"/>
        <v>450.18371999999943</v>
      </c>
      <c r="O105" s="25">
        <f t="shared" si="107"/>
        <v>-292.61897280000039</v>
      </c>
      <c r="P105" s="25">
        <f t="shared" si="107"/>
        <v>672.25195799999926</v>
      </c>
      <c r="Q105" s="25">
        <f t="shared" si="107"/>
        <v>502.14717656250127</v>
      </c>
      <c r="R105" s="25">
        <f t="shared" si="107"/>
        <v>684.87834023437404</v>
      </c>
      <c r="S105" s="30"/>
      <c r="T105" s="25">
        <f t="shared" si="107"/>
        <v>466</v>
      </c>
      <c r="U105" s="25">
        <f t="shared" ref="U105:AA105" si="108">U97+U103</f>
        <v>-899</v>
      </c>
      <c r="V105" s="25">
        <f t="shared" si="108"/>
        <v>-910</v>
      </c>
      <c r="W105" s="25">
        <f t="shared" si="108"/>
        <v>-357.4177000000002</v>
      </c>
      <c r="X105" s="25">
        <f t="shared" si="108"/>
        <v>158.09276699999918</v>
      </c>
      <c r="Y105" s="25">
        <f t="shared" si="108"/>
        <v>379.63298519999933</v>
      </c>
      <c r="Z105" s="25">
        <f t="shared" si="108"/>
        <v>502.14717656250127</v>
      </c>
      <c r="AA105" s="25">
        <f t="shared" si="108"/>
        <v>684.87834023437404</v>
      </c>
      <c r="AB105" s="30"/>
      <c r="AC105" s="30"/>
      <c r="AD105" s="30"/>
    </row>
    <row r="106" spans="3:30" outlineLevel="1" x14ac:dyDescent="0.2">
      <c r="C106" s="30"/>
      <c r="D106"/>
      <c r="E106"/>
      <c r="F106" s="27"/>
      <c r="G106"/>
      <c r="H106" s="27"/>
      <c r="I106" s="34"/>
      <c r="J106" s="34"/>
      <c r="K106" s="34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spans="3:30" outlineLevel="1" x14ac:dyDescent="0.2">
      <c r="C107" s="19" t="s">
        <v>77</v>
      </c>
      <c r="D107"/>
      <c r="E107"/>
      <c r="F107" s="28"/>
      <c r="G107"/>
      <c r="H107" s="28"/>
      <c r="I107" s="34"/>
      <c r="J107" s="34"/>
      <c r="K107" s="34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spans="3:30" outlineLevel="1" x14ac:dyDescent="0.2">
      <c r="C108" s="31" t="s">
        <v>78</v>
      </c>
      <c r="D108" s="2" t="s">
        <v>35</v>
      </c>
      <c r="E108" s="5">
        <v>14</v>
      </c>
      <c r="F108" s="5">
        <v>10</v>
      </c>
      <c r="G108" s="5">
        <v>77</v>
      </c>
      <c r="H108" s="5">
        <v>40</v>
      </c>
      <c r="I108" s="5">
        <v>51</v>
      </c>
      <c r="J108" s="5">
        <v>32</v>
      </c>
      <c r="K108" s="5">
        <v>8</v>
      </c>
      <c r="L108" s="33">
        <f>L195</f>
        <v>21.90625</v>
      </c>
      <c r="M108" s="33">
        <f t="shared" ref="M108:R108" si="109">M195</f>
        <v>35.124223230809875</v>
      </c>
      <c r="N108" s="33">
        <f t="shared" si="109"/>
        <v>41.377772503279807</v>
      </c>
      <c r="O108" s="33">
        <f t="shared" si="109"/>
        <v>44.186563880193766</v>
      </c>
      <c r="P108" s="33">
        <f t="shared" si="109"/>
        <v>32.008117241999997</v>
      </c>
      <c r="Q108" s="33">
        <f t="shared" si="109"/>
        <v>54.155752987599996</v>
      </c>
      <c r="R108" s="33">
        <f t="shared" si="109"/>
        <v>55.182510007812496</v>
      </c>
      <c r="S108" s="30"/>
      <c r="T108" s="33">
        <f t="shared" ref="T108:AA109" si="110">SUMIF($E$23:$R$23,T$23,$E108:$R108)</f>
        <v>24</v>
      </c>
      <c r="U108" s="33">
        <f t="shared" si="110"/>
        <v>117</v>
      </c>
      <c r="V108" s="33">
        <f t="shared" si="110"/>
        <v>83</v>
      </c>
      <c r="W108" s="33">
        <f t="shared" si="110"/>
        <v>29.90625</v>
      </c>
      <c r="X108" s="33">
        <f t="shared" si="110"/>
        <v>76.501995734089689</v>
      </c>
      <c r="Y108" s="33">
        <f t="shared" si="110"/>
        <v>76.194681122193771</v>
      </c>
      <c r="Z108" s="33">
        <f t="shared" si="110"/>
        <v>54.155752987599996</v>
      </c>
      <c r="AA108" s="33">
        <f t="shared" si="110"/>
        <v>55.182510007812496</v>
      </c>
      <c r="AB108" s="30"/>
      <c r="AC108" s="30"/>
      <c r="AD108" s="30"/>
    </row>
    <row r="109" spans="3:30" outlineLevel="1" x14ac:dyDescent="0.2">
      <c r="C109" s="31" t="s">
        <v>79</v>
      </c>
      <c r="D109" s="21" t="s">
        <v>35</v>
      </c>
      <c r="E109" s="5">
        <v>-31</v>
      </c>
      <c r="F109" s="5">
        <v>-29</v>
      </c>
      <c r="G109" s="5">
        <v>-257</v>
      </c>
      <c r="H109" s="5">
        <v>-234</v>
      </c>
      <c r="I109" s="5">
        <v>-95</v>
      </c>
      <c r="J109" s="5">
        <v>-114</v>
      </c>
      <c r="K109" s="5">
        <v>-66</v>
      </c>
      <c r="L109" s="33">
        <f t="shared" ref="L109:R109" si="111">L196</f>
        <v>-47.715625000000003</v>
      </c>
      <c r="M109" s="33">
        <f t="shared" si="111"/>
        <v>-40.846874999999997</v>
      </c>
      <c r="N109" s="33">
        <f t="shared" si="111"/>
        <v>-38.061895249999999</v>
      </c>
      <c r="O109" s="33">
        <f t="shared" si="111"/>
        <v>-38.515438549999999</v>
      </c>
      <c r="P109" s="33">
        <f t="shared" si="111"/>
        <v>-50.707716839213937</v>
      </c>
      <c r="Q109" s="33">
        <f t="shared" si="111"/>
        <v>-83.993448461682135</v>
      </c>
      <c r="R109" s="33">
        <f t="shared" si="111"/>
        <v>-122.31068324259985</v>
      </c>
      <c r="S109" s="30"/>
      <c r="T109" s="33">
        <f t="shared" si="110"/>
        <v>-60</v>
      </c>
      <c r="U109" s="33">
        <f t="shared" si="110"/>
        <v>-491</v>
      </c>
      <c r="V109" s="33">
        <f t="shared" si="110"/>
        <v>-209</v>
      </c>
      <c r="W109" s="33">
        <f t="shared" si="110"/>
        <v>-113.715625</v>
      </c>
      <c r="X109" s="33">
        <f t="shared" si="110"/>
        <v>-78.908770250000003</v>
      </c>
      <c r="Y109" s="33">
        <f t="shared" si="110"/>
        <v>-89.223155389213929</v>
      </c>
      <c r="Z109" s="33">
        <f t="shared" si="110"/>
        <v>-83.993448461682135</v>
      </c>
      <c r="AA109" s="33">
        <f t="shared" si="110"/>
        <v>-122.31068324259985</v>
      </c>
      <c r="AB109" s="30"/>
      <c r="AC109" s="30"/>
      <c r="AD109" s="30"/>
    </row>
    <row r="110" spans="3:30" outlineLevel="1" x14ac:dyDescent="0.2">
      <c r="C110" s="20" t="s">
        <v>80</v>
      </c>
      <c r="D110" s="2" t="s">
        <v>35</v>
      </c>
      <c r="E110" s="24">
        <f t="shared" ref="E110:H110" si="112">SUM(E108:E109)</f>
        <v>-17</v>
      </c>
      <c r="F110" s="24">
        <f t="shared" si="112"/>
        <v>-19</v>
      </c>
      <c r="G110" s="24">
        <f t="shared" si="112"/>
        <v>-180</v>
      </c>
      <c r="H110" s="24">
        <f t="shared" si="112"/>
        <v>-194</v>
      </c>
      <c r="I110" s="24">
        <f>SUM(I108:I109)</f>
        <v>-44</v>
      </c>
      <c r="J110" s="24">
        <f>SUM(J108:J109)</f>
        <v>-82</v>
      </c>
      <c r="K110" s="24">
        <f>SUM(K108:K109)</f>
        <v>-58</v>
      </c>
      <c r="L110" s="24">
        <f>SUM(L108:L109)</f>
        <v>-25.809375000000003</v>
      </c>
      <c r="M110" s="24">
        <f t="shared" ref="M110:R110" si="113">SUM(M108:M109)</f>
        <v>-5.7226517691901222</v>
      </c>
      <c r="N110" s="24">
        <f t="shared" si="113"/>
        <v>3.3158772532798082</v>
      </c>
      <c r="O110" s="24">
        <f t="shared" si="113"/>
        <v>5.6711253301937674</v>
      </c>
      <c r="P110" s="24">
        <f t="shared" si="113"/>
        <v>-18.69959959721394</v>
      </c>
      <c r="Q110" s="24">
        <f t="shared" si="113"/>
        <v>-29.837695474082139</v>
      </c>
      <c r="R110" s="24">
        <f t="shared" si="113"/>
        <v>-67.128173234787354</v>
      </c>
      <c r="S110" s="30"/>
      <c r="T110" s="24">
        <f>SUM(T108:T109)</f>
        <v>-36</v>
      </c>
      <c r="U110" s="24">
        <f t="shared" ref="U110:AA110" si="114">SUM(U108:U109)</f>
        <v>-374</v>
      </c>
      <c r="V110" s="24">
        <f t="shared" si="114"/>
        <v>-126</v>
      </c>
      <c r="W110" s="24">
        <f t="shared" si="114"/>
        <v>-83.809375000000003</v>
      </c>
      <c r="X110" s="24">
        <f t="shared" si="114"/>
        <v>-2.406774515910314</v>
      </c>
      <c r="Y110" s="24">
        <f t="shared" si="114"/>
        <v>-13.028474267020158</v>
      </c>
      <c r="Z110" s="24">
        <f t="shared" si="114"/>
        <v>-29.837695474082139</v>
      </c>
      <c r="AA110" s="24">
        <f t="shared" si="114"/>
        <v>-67.128173234787354</v>
      </c>
      <c r="AB110" s="30"/>
      <c r="AC110" s="30"/>
      <c r="AD110" s="30"/>
    </row>
    <row r="111" spans="3:30" outlineLevel="1" x14ac:dyDescent="0.2">
      <c r="C111" s="30"/>
      <c r="D111"/>
      <c r="E111"/>
      <c r="F111" s="27"/>
      <c r="G111" s="27"/>
      <c r="H111" s="27"/>
      <c r="I111" s="34"/>
      <c r="J111" s="34"/>
      <c r="K111" s="34"/>
      <c r="L111" s="34"/>
      <c r="M111" s="30"/>
      <c r="N111" s="30"/>
      <c r="O111" s="30"/>
      <c r="P111" s="30"/>
      <c r="Q111" s="30"/>
      <c r="R111" s="34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 spans="3:30" outlineLevel="1" x14ac:dyDescent="0.2">
      <c r="C112" s="19" t="s">
        <v>81</v>
      </c>
      <c r="D112" s="2" t="s">
        <v>35</v>
      </c>
      <c r="E112" s="29">
        <f t="shared" ref="E112:H112" si="115">E105+E110</f>
        <v>-272</v>
      </c>
      <c r="F112" s="29">
        <f t="shared" si="115"/>
        <v>702</v>
      </c>
      <c r="G112" s="29">
        <f t="shared" si="115"/>
        <v>-353</v>
      </c>
      <c r="H112" s="29">
        <f t="shared" si="115"/>
        <v>-920</v>
      </c>
      <c r="I112" s="25">
        <f>I105+I110</f>
        <v>-645</v>
      </c>
      <c r="J112" s="25">
        <f t="shared" ref="J112:L112" si="116">J105+J110</f>
        <v>-391</v>
      </c>
      <c r="K112" s="25">
        <f t="shared" si="116"/>
        <v>-557</v>
      </c>
      <c r="L112" s="25">
        <f t="shared" si="116"/>
        <v>115.7729249999998</v>
      </c>
      <c r="M112" s="25">
        <f t="shared" ref="M112:T112" si="117">M105+M110</f>
        <v>-297.81360476919048</v>
      </c>
      <c r="N112" s="25">
        <f t="shared" si="117"/>
        <v>453.49959725327926</v>
      </c>
      <c r="O112" s="25">
        <f t="shared" si="117"/>
        <v>-286.94784746980662</v>
      </c>
      <c r="P112" s="25">
        <f t="shared" si="117"/>
        <v>653.55235840278533</v>
      </c>
      <c r="Q112" s="25">
        <f t="shared" si="117"/>
        <v>472.30948108841915</v>
      </c>
      <c r="R112" s="25">
        <f t="shared" si="117"/>
        <v>617.75016699958667</v>
      </c>
      <c r="S112" s="30"/>
      <c r="T112" s="25">
        <f t="shared" si="117"/>
        <v>430</v>
      </c>
      <c r="U112" s="25">
        <f t="shared" ref="U112:AA112" si="118">U105+U110</f>
        <v>-1273</v>
      </c>
      <c r="V112" s="25">
        <f t="shared" si="118"/>
        <v>-1036</v>
      </c>
      <c r="W112" s="25">
        <f t="shared" si="118"/>
        <v>-441.22707500000018</v>
      </c>
      <c r="X112" s="25">
        <f t="shared" si="118"/>
        <v>155.68599248408887</v>
      </c>
      <c r="Y112" s="25">
        <f t="shared" si="118"/>
        <v>366.60451093297917</v>
      </c>
      <c r="Z112" s="25">
        <f t="shared" si="118"/>
        <v>472.30948108841915</v>
      </c>
      <c r="AA112" s="25">
        <f t="shared" si="118"/>
        <v>617.75016699958667</v>
      </c>
      <c r="AB112" s="30"/>
      <c r="AC112" s="30"/>
      <c r="AD112" s="30"/>
    </row>
    <row r="113" spans="2:30" outlineLevel="1" x14ac:dyDescent="0.2">
      <c r="B113" s="30"/>
      <c r="C113" s="31" t="s">
        <v>82</v>
      </c>
      <c r="D113" s="21" t="s">
        <v>35</v>
      </c>
      <c r="E113" s="5">
        <v>54</v>
      </c>
      <c r="F113" s="5">
        <v>-135</v>
      </c>
      <c r="G113" s="5">
        <v>29</v>
      </c>
      <c r="H113" s="5">
        <v>165</v>
      </c>
      <c r="I113" s="5">
        <v>96</v>
      </c>
      <c r="J113" s="5">
        <v>82</v>
      </c>
      <c r="K113" s="5">
        <v>126</v>
      </c>
      <c r="L113" s="33">
        <f t="shared" ref="L113:R113" si="119">-L112*L61</f>
        <v>-21.996855749999963</v>
      </c>
      <c r="M113" s="33">
        <f t="shared" si="119"/>
        <v>56.584584906146191</v>
      </c>
      <c r="N113" s="33">
        <f t="shared" si="119"/>
        <v>-113.37489931331982</v>
      </c>
      <c r="O113" s="33">
        <f t="shared" si="119"/>
        <v>71.736961867451654</v>
      </c>
      <c r="P113" s="33">
        <f t="shared" si="119"/>
        <v>-163.38808960069633</v>
      </c>
      <c r="Q113" s="33">
        <f t="shared" si="119"/>
        <v>-118.07737027210479</v>
      </c>
      <c r="R113" s="33">
        <f t="shared" si="119"/>
        <v>-154.43754174989667</v>
      </c>
      <c r="S113" s="30"/>
      <c r="T113" s="33">
        <f t="shared" ref="T113:AA113" si="120">SUMIF($E$23:$R$23,T$23,$E113:$R113)</f>
        <v>-81</v>
      </c>
      <c r="U113" s="33">
        <f t="shared" si="120"/>
        <v>194</v>
      </c>
      <c r="V113" s="33">
        <f t="shared" si="120"/>
        <v>178</v>
      </c>
      <c r="W113" s="33">
        <f t="shared" si="120"/>
        <v>104.00314425000003</v>
      </c>
      <c r="X113" s="33">
        <f t="shared" si="120"/>
        <v>-56.790314407173625</v>
      </c>
      <c r="Y113" s="33">
        <f t="shared" si="120"/>
        <v>-91.651127733244678</v>
      </c>
      <c r="Z113" s="33">
        <f t="shared" si="120"/>
        <v>-118.07737027210479</v>
      </c>
      <c r="AA113" s="33">
        <f t="shared" si="120"/>
        <v>-154.43754174989667</v>
      </c>
      <c r="AB113" s="30"/>
      <c r="AC113" s="30"/>
      <c r="AD113" s="30"/>
    </row>
    <row r="114" spans="2:30" outlineLevel="1" x14ac:dyDescent="0.2">
      <c r="B114" s="30"/>
      <c r="C114" s="20" t="s">
        <v>83</v>
      </c>
      <c r="D114" s="2" t="s">
        <v>35</v>
      </c>
      <c r="E114" s="23">
        <f t="shared" ref="E114:H114" si="121">SUM(E112:E113)</f>
        <v>-218</v>
      </c>
      <c r="F114" s="23">
        <f t="shared" si="121"/>
        <v>567</v>
      </c>
      <c r="G114" s="23">
        <f t="shared" si="121"/>
        <v>-324</v>
      </c>
      <c r="H114" s="23">
        <f t="shared" si="121"/>
        <v>-755</v>
      </c>
      <c r="I114" s="23">
        <f>SUM(I112:I113)</f>
        <v>-549</v>
      </c>
      <c r="J114" s="23">
        <f>SUM(J112:J113)</f>
        <v>-309</v>
      </c>
      <c r="K114" s="23">
        <f>SUM(K112:K113)</f>
        <v>-431</v>
      </c>
      <c r="L114" s="23">
        <f>SUM(L112:L113)</f>
        <v>93.776069249999836</v>
      </c>
      <c r="M114" s="23">
        <f t="shared" ref="M114:R114" si="122">SUM(M112:M113)</f>
        <v>-241.2290198630443</v>
      </c>
      <c r="N114" s="23">
        <f t="shared" si="122"/>
        <v>340.12469793995945</v>
      </c>
      <c r="O114" s="23">
        <f t="shared" si="122"/>
        <v>-215.21088560235495</v>
      </c>
      <c r="P114" s="23">
        <f t="shared" si="122"/>
        <v>490.164268802089</v>
      </c>
      <c r="Q114" s="23">
        <f t="shared" si="122"/>
        <v>354.23211081631439</v>
      </c>
      <c r="R114" s="23">
        <f t="shared" si="122"/>
        <v>463.31262524968997</v>
      </c>
      <c r="S114" s="30"/>
      <c r="T114" s="23">
        <f>SUM(T112:T113)</f>
        <v>349</v>
      </c>
      <c r="U114" s="23">
        <f t="shared" ref="U114:AA114" si="123">SUM(U112:U113)</f>
        <v>-1079</v>
      </c>
      <c r="V114" s="23">
        <f t="shared" si="123"/>
        <v>-858</v>
      </c>
      <c r="W114" s="23">
        <f t="shared" si="123"/>
        <v>-337.22393075000014</v>
      </c>
      <c r="X114" s="23">
        <f t="shared" si="123"/>
        <v>98.895678076915246</v>
      </c>
      <c r="Y114" s="23">
        <f t="shared" si="123"/>
        <v>274.9533831997345</v>
      </c>
      <c r="Z114" s="23">
        <f t="shared" si="123"/>
        <v>354.23211081631439</v>
      </c>
      <c r="AA114" s="23">
        <f t="shared" si="123"/>
        <v>463.31262524968997</v>
      </c>
      <c r="AB114" s="30"/>
      <c r="AC114" s="30"/>
      <c r="AD114" s="30"/>
    </row>
    <row r="115" spans="2:30" x14ac:dyDescent="0.2">
      <c r="B115" s="30"/>
      <c r="C115" s="30"/>
      <c r="D115" s="30"/>
      <c r="E115" s="30"/>
      <c r="F115" s="30"/>
      <c r="G115" s="30"/>
      <c r="H115" s="30"/>
      <c r="I115" s="30"/>
      <c r="J115" s="432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 spans="2:30" x14ac:dyDescent="0.2">
      <c r="B116" s="6"/>
      <c r="C116" s="6"/>
      <c r="D116" s="6"/>
      <c r="E116" s="12" t="str">
        <f ca="1">$E$25</f>
        <v>Historical (Half-Years):</v>
      </c>
      <c r="F116" s="14"/>
      <c r="G116" s="14"/>
      <c r="H116" s="14"/>
      <c r="I116" s="14"/>
      <c r="J116" s="14"/>
      <c r="K116" s="15"/>
      <c r="L116" s="12"/>
      <c r="M116" s="14"/>
      <c r="N116" s="14"/>
      <c r="O116" s="14"/>
      <c r="P116" s="15"/>
      <c r="Q116" s="12" t="str">
        <f>$Q$25</f>
        <v>Projected (Annual):</v>
      </c>
      <c r="R116" s="14"/>
      <c r="S116" s="30"/>
      <c r="T116" s="12" t="str">
        <f>$T$25</f>
        <v>Historical:</v>
      </c>
      <c r="U116" s="14"/>
      <c r="V116" s="15"/>
      <c r="W116" s="12"/>
      <c r="X116" s="12"/>
      <c r="Y116" s="405"/>
      <c r="Z116" s="12" t="str">
        <f>$Q$25</f>
        <v>Projected (Annual):</v>
      </c>
      <c r="AA116" s="12"/>
      <c r="AB116" s="30"/>
      <c r="AC116" s="30"/>
      <c r="AD116" s="30"/>
    </row>
    <row r="117" spans="2:30" x14ac:dyDescent="0.2">
      <c r="B117" s="7" t="s">
        <v>84</v>
      </c>
      <c r="C117" s="8"/>
      <c r="D117" s="9" t="str">
        <f>$D$5</f>
        <v>Units:</v>
      </c>
      <c r="E117" s="13">
        <f>$E$26</f>
        <v>43555</v>
      </c>
      <c r="F117" s="16">
        <f>$F$26</f>
        <v>43738</v>
      </c>
      <c r="G117" s="13">
        <f>$G$26</f>
        <v>43921</v>
      </c>
      <c r="H117" s="16">
        <f>$H$26</f>
        <v>44104</v>
      </c>
      <c r="I117" s="13">
        <f>$I$26</f>
        <v>44286</v>
      </c>
      <c r="J117" s="16">
        <f>$J$26</f>
        <v>44469</v>
      </c>
      <c r="K117" s="17">
        <f>$K$26</f>
        <v>44651</v>
      </c>
      <c r="L117" s="16">
        <f>$L$26</f>
        <v>44834</v>
      </c>
      <c r="M117" s="13">
        <f>$M$26</f>
        <v>45016</v>
      </c>
      <c r="N117" s="16">
        <f>$N$26</f>
        <v>45199</v>
      </c>
      <c r="O117" s="13">
        <f>$O$26</f>
        <v>45382</v>
      </c>
      <c r="P117" s="65">
        <f>$P$26</f>
        <v>45565</v>
      </c>
      <c r="Q117" s="37">
        <f>$Q$26</f>
        <v>45930</v>
      </c>
      <c r="R117" s="37">
        <f>$R$26</f>
        <v>46295</v>
      </c>
      <c r="S117" s="30"/>
      <c r="T117" s="37">
        <f>$T$26</f>
        <v>43738</v>
      </c>
      <c r="U117" s="37">
        <f>$U$26</f>
        <v>44104</v>
      </c>
      <c r="V117" s="37">
        <f>$V$26</f>
        <v>44469</v>
      </c>
      <c r="W117" s="67">
        <f>$W$26</f>
        <v>44834</v>
      </c>
      <c r="X117" s="37">
        <f>$X$26</f>
        <v>45199</v>
      </c>
      <c r="Y117" s="37">
        <f>$Y$26</f>
        <v>45565</v>
      </c>
      <c r="Z117" s="37">
        <f>$Z$26</f>
        <v>45930</v>
      </c>
      <c r="AA117" s="37">
        <f>$AA$26</f>
        <v>46295</v>
      </c>
      <c r="AB117" s="30"/>
      <c r="AC117" s="30"/>
      <c r="AD117" s="30"/>
    </row>
    <row r="118" spans="2:30" outlineLevel="1" x14ac:dyDescent="0.2">
      <c r="B118" s="10" t="s">
        <v>85</v>
      </c>
      <c r="C118" s="429"/>
      <c r="D118" s="429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30"/>
      <c r="T118" s="10" t="str">
        <f>$B118</f>
        <v>ASSETS:</v>
      </c>
      <c r="U118" s="429"/>
      <c r="V118" s="429"/>
      <c r="W118" s="11"/>
      <c r="X118" s="11"/>
      <c r="Y118" s="11"/>
      <c r="Z118" s="11"/>
      <c r="AA118" s="11"/>
      <c r="AB118" s="30"/>
      <c r="AC118" s="30"/>
      <c r="AD118" s="30"/>
    </row>
    <row r="119" spans="2:30" outlineLevel="1" x14ac:dyDescent="0.2">
      <c r="B119" s="30"/>
      <c r="C119" s="31" t="s">
        <v>86</v>
      </c>
      <c r="D119" s="2" t="s">
        <v>35</v>
      </c>
      <c r="E119" s="4">
        <v>1280</v>
      </c>
      <c r="F119" s="4">
        <v>1576</v>
      </c>
      <c r="G119" s="4">
        <v>1388</v>
      </c>
      <c r="H119" s="4">
        <v>2316</v>
      </c>
      <c r="I119" s="4">
        <v>2335</v>
      </c>
      <c r="J119" s="4">
        <v>3536</v>
      </c>
      <c r="K119" s="4">
        <v>3505</v>
      </c>
      <c r="L119" s="41">
        <f>L171</f>
        <v>3512.4223230809871</v>
      </c>
      <c r="M119" s="41">
        <f t="shared" ref="M119:R119" si="124">M171</f>
        <v>2758.5181668853206</v>
      </c>
      <c r="N119" s="41">
        <f t="shared" si="124"/>
        <v>2945.7709253462513</v>
      </c>
      <c r="O119" s="41">
        <f t="shared" si="124"/>
        <v>2133.8744827999999</v>
      </c>
      <c r="P119" s="41">
        <f t="shared" si="124"/>
        <v>1969.3001086399997</v>
      </c>
      <c r="Q119" s="41">
        <f t="shared" si="124"/>
        <v>2207.3004003124997</v>
      </c>
      <c r="R119" s="41">
        <f t="shared" si="124"/>
        <v>2469.1342852343746</v>
      </c>
      <c r="S119" s="30"/>
      <c r="T119" s="41">
        <f>INDEX($E119:$R119,1,MATCH(T$117,$E$117:$R$117,0))</f>
        <v>1576</v>
      </c>
      <c r="U119" s="41">
        <f t="shared" ref="U119:AA123" si="125">INDEX($E119:$R119,1,MATCH(U$117,$E$117:$R$117,0))</f>
        <v>2316</v>
      </c>
      <c r="V119" s="41">
        <f t="shared" si="125"/>
        <v>3536</v>
      </c>
      <c r="W119" s="41">
        <f t="shared" si="125"/>
        <v>3512.4223230809871</v>
      </c>
      <c r="X119" s="41">
        <f t="shared" si="125"/>
        <v>2945.7709253462513</v>
      </c>
      <c r="Y119" s="41">
        <f t="shared" si="125"/>
        <v>1969.3001086399997</v>
      </c>
      <c r="Z119" s="41">
        <f t="shared" si="125"/>
        <v>2207.3004003124997</v>
      </c>
      <c r="AA119" s="41">
        <f t="shared" si="125"/>
        <v>2469.1342852343746</v>
      </c>
      <c r="AB119" s="30"/>
      <c r="AC119" s="30"/>
      <c r="AD119" s="30"/>
    </row>
    <row r="120" spans="2:30" outlineLevel="1" x14ac:dyDescent="0.2">
      <c r="B120" s="30"/>
      <c r="C120" s="31" t="s">
        <v>87</v>
      </c>
      <c r="D120" s="2" t="s">
        <v>35</v>
      </c>
      <c r="E120" s="5">
        <v>251</v>
      </c>
      <c r="F120" s="5">
        <v>281</v>
      </c>
      <c r="G120" s="5">
        <v>-347</v>
      </c>
      <c r="H120" s="5">
        <v>-135</v>
      </c>
      <c r="I120" s="5">
        <v>128</v>
      </c>
      <c r="J120" s="5">
        <v>421</v>
      </c>
      <c r="K120" s="5">
        <v>711</v>
      </c>
      <c r="L120" s="33">
        <f>K120-L147</f>
        <v>689.00314424999999</v>
      </c>
      <c r="M120" s="33">
        <f t="shared" ref="M120:R120" si="126">L120-M147</f>
        <v>745.58772915614622</v>
      </c>
      <c r="N120" s="33">
        <f t="shared" si="126"/>
        <v>632.21282984282641</v>
      </c>
      <c r="O120" s="33">
        <f t="shared" si="126"/>
        <v>703.94979171027808</v>
      </c>
      <c r="P120" s="33">
        <f t="shared" si="126"/>
        <v>540.5617021095818</v>
      </c>
      <c r="Q120" s="33">
        <f t="shared" si="126"/>
        <v>422.48433183747704</v>
      </c>
      <c r="R120" s="33">
        <f t="shared" si="126"/>
        <v>268.04679008758035</v>
      </c>
      <c r="S120" s="30"/>
      <c r="T120" s="33">
        <f t="shared" ref="T120:T123" si="127">INDEX($E120:$R120,1,MATCH(T$117,$E$117:$R$117,0))</f>
        <v>281</v>
      </c>
      <c r="U120" s="33">
        <f t="shared" si="125"/>
        <v>-135</v>
      </c>
      <c r="V120" s="33">
        <f t="shared" si="125"/>
        <v>421</v>
      </c>
      <c r="W120" s="33">
        <f t="shared" si="125"/>
        <v>689.00314424999999</v>
      </c>
      <c r="X120" s="33">
        <f t="shared" si="125"/>
        <v>632.21282984282641</v>
      </c>
      <c r="Y120" s="33">
        <f t="shared" si="125"/>
        <v>540.5617021095818</v>
      </c>
      <c r="Z120" s="33">
        <f t="shared" si="125"/>
        <v>422.48433183747704</v>
      </c>
      <c r="AA120" s="33">
        <f t="shared" si="125"/>
        <v>268.04679008758035</v>
      </c>
      <c r="AB120" s="30"/>
      <c r="AC120" s="30"/>
      <c r="AD120" s="30"/>
    </row>
    <row r="121" spans="2:30" outlineLevel="1" x14ac:dyDescent="0.2">
      <c r="B121" s="30"/>
      <c r="C121" s="31" t="s">
        <v>88</v>
      </c>
      <c r="D121" s="2" t="s">
        <v>35</v>
      </c>
      <c r="E121" s="5">
        <v>335</v>
      </c>
      <c r="F121" s="5">
        <v>302</v>
      </c>
      <c r="G121" s="5">
        <v>332</v>
      </c>
      <c r="H121" s="5">
        <v>193</v>
      </c>
      <c r="I121" s="5">
        <v>150</v>
      </c>
      <c r="J121" s="5">
        <v>291</v>
      </c>
      <c r="K121" s="5">
        <v>336</v>
      </c>
      <c r="L121" s="33">
        <f>SUM(K94:L94)*L65</f>
        <v>414.96685000000002</v>
      </c>
      <c r="M121" s="33">
        <f>SUM(L94:M94)*M65</f>
        <v>394.21390775999998</v>
      </c>
      <c r="N121" s="33">
        <f>SUM(M94:N94)*N65</f>
        <v>426.00383468999996</v>
      </c>
      <c r="O121" s="33">
        <f>SUM(N94:O94)*O65</f>
        <v>392.12987587199996</v>
      </c>
      <c r="P121" s="33">
        <f>SUM(O94:P94)*P65</f>
        <v>367.32502715999993</v>
      </c>
      <c r="Q121" s="33">
        <f>Q94*Q65</f>
        <v>426.82510007812493</v>
      </c>
      <c r="R121" s="33">
        <f>R94*R65</f>
        <v>492.28357130859359</v>
      </c>
      <c r="S121" s="30"/>
      <c r="T121" s="33">
        <f t="shared" si="127"/>
        <v>302</v>
      </c>
      <c r="U121" s="33">
        <f t="shared" si="125"/>
        <v>193</v>
      </c>
      <c r="V121" s="33">
        <f t="shared" si="125"/>
        <v>291</v>
      </c>
      <c r="W121" s="33">
        <f t="shared" si="125"/>
        <v>414.96685000000002</v>
      </c>
      <c r="X121" s="33">
        <f t="shared" si="125"/>
        <v>426.00383468999996</v>
      </c>
      <c r="Y121" s="33">
        <f t="shared" si="125"/>
        <v>367.32502715999993</v>
      </c>
      <c r="Z121" s="33">
        <f t="shared" si="125"/>
        <v>426.82510007812493</v>
      </c>
      <c r="AA121" s="33">
        <f t="shared" si="125"/>
        <v>492.28357130859359</v>
      </c>
      <c r="AB121" s="30"/>
      <c r="AC121" s="30"/>
      <c r="AD121" s="30"/>
    </row>
    <row r="122" spans="2:30" outlineLevel="1" x14ac:dyDescent="0.2">
      <c r="B122" s="30"/>
      <c r="C122" s="31" t="s">
        <v>89</v>
      </c>
      <c r="D122" s="2" t="s">
        <v>35</v>
      </c>
      <c r="E122" s="5">
        <v>4837</v>
      </c>
      <c r="F122" s="5">
        <v>5292</v>
      </c>
      <c r="G122" s="5">
        <v>5592</v>
      </c>
      <c r="H122" s="5">
        <v>5018</v>
      </c>
      <c r="I122" s="5">
        <v>4422</v>
      </c>
      <c r="J122" s="5">
        <v>4361</v>
      </c>
      <c r="K122" s="5">
        <v>4738</v>
      </c>
      <c r="L122" s="33">
        <f>K122-L145-L153-L154</f>
        <v>4905.9790000000003</v>
      </c>
      <c r="M122" s="33">
        <f t="shared" ref="M122:R122" si="128">L122-M145-M153-M154</f>
        <v>5121.9871000000003</v>
      </c>
      <c r="N122" s="33">
        <f t="shared" si="128"/>
        <v>5390.7534999999998</v>
      </c>
      <c r="O122" s="33">
        <f t="shared" si="128"/>
        <v>5701.8051640000003</v>
      </c>
      <c r="P122" s="33">
        <f t="shared" si="128"/>
        <v>6111.3379660000001</v>
      </c>
      <c r="Q122" s="33">
        <f t="shared" si="128"/>
        <v>7150.5305785</v>
      </c>
      <c r="R122" s="33">
        <f t="shared" si="128"/>
        <v>8371.9696566249986</v>
      </c>
      <c r="S122" s="30"/>
      <c r="T122" s="33">
        <f t="shared" si="127"/>
        <v>5292</v>
      </c>
      <c r="U122" s="33">
        <f t="shared" si="125"/>
        <v>5018</v>
      </c>
      <c r="V122" s="33">
        <f t="shared" si="125"/>
        <v>4361</v>
      </c>
      <c r="W122" s="33">
        <f t="shared" si="125"/>
        <v>4905.9790000000003</v>
      </c>
      <c r="X122" s="33">
        <f t="shared" si="125"/>
        <v>5390.7534999999998</v>
      </c>
      <c r="Y122" s="33">
        <f t="shared" si="125"/>
        <v>6111.3379660000001</v>
      </c>
      <c r="Z122" s="33">
        <f t="shared" si="125"/>
        <v>7150.5305785</v>
      </c>
      <c r="AA122" s="33">
        <f t="shared" si="125"/>
        <v>8371.9696566249986</v>
      </c>
      <c r="AB122" s="30"/>
      <c r="AC122" s="30"/>
      <c r="AD122" s="30"/>
    </row>
    <row r="123" spans="2:30" outlineLevel="1" x14ac:dyDescent="0.2">
      <c r="B123" s="30"/>
      <c r="C123" s="31" t="s">
        <v>90</v>
      </c>
      <c r="D123" s="21" t="s">
        <v>35</v>
      </c>
      <c r="E123" s="5">
        <v>572</v>
      </c>
      <c r="F123" s="5">
        <v>502</v>
      </c>
      <c r="G123" s="5">
        <v>468</v>
      </c>
      <c r="H123" s="5">
        <v>644</v>
      </c>
      <c r="I123" s="5">
        <v>1078</v>
      </c>
      <c r="J123" s="5">
        <v>1096</v>
      </c>
      <c r="K123" s="5">
        <v>1045</v>
      </c>
      <c r="L123" s="33">
        <f>K123-L144-L155</f>
        <v>997.00600000000009</v>
      </c>
      <c r="M123" s="33">
        <f t="shared" ref="M123:R123" si="129">L123-M144-M155</f>
        <v>997.00600000000009</v>
      </c>
      <c r="N123" s="33">
        <f t="shared" si="129"/>
        <v>1017.16348</v>
      </c>
      <c r="O123" s="33">
        <f t="shared" si="129"/>
        <v>1040.204344</v>
      </c>
      <c r="P123" s="33">
        <f t="shared" si="129"/>
        <v>1086.566548</v>
      </c>
      <c r="Q123" s="33">
        <f t="shared" si="129"/>
        <v>1210.6492480000002</v>
      </c>
      <c r="R123" s="33">
        <f t="shared" si="129"/>
        <v>1385.1405448750002</v>
      </c>
      <c r="S123" s="30"/>
      <c r="T123" s="33">
        <f t="shared" si="127"/>
        <v>502</v>
      </c>
      <c r="U123" s="33">
        <f t="shared" si="125"/>
        <v>644</v>
      </c>
      <c r="V123" s="33">
        <f t="shared" si="125"/>
        <v>1096</v>
      </c>
      <c r="W123" s="33">
        <f t="shared" si="125"/>
        <v>997.00600000000009</v>
      </c>
      <c r="X123" s="33">
        <f t="shared" si="125"/>
        <v>1017.16348</v>
      </c>
      <c r="Y123" s="33">
        <f t="shared" si="125"/>
        <v>1086.566548</v>
      </c>
      <c r="Z123" s="33">
        <f t="shared" si="125"/>
        <v>1210.6492480000002</v>
      </c>
      <c r="AA123" s="33">
        <f t="shared" si="125"/>
        <v>1385.1405448750002</v>
      </c>
      <c r="AB123" s="30"/>
      <c r="AC123" s="30"/>
      <c r="AD123" s="30"/>
    </row>
    <row r="124" spans="2:30" outlineLevel="1" x14ac:dyDescent="0.2">
      <c r="B124" s="30"/>
      <c r="C124" s="20" t="s">
        <v>91</v>
      </c>
      <c r="D124" s="2" t="s">
        <v>35</v>
      </c>
      <c r="E124" s="23">
        <f t="shared" ref="E124:G124" si="130">SUM(E119:E123)</f>
        <v>7275</v>
      </c>
      <c r="F124" s="23">
        <f t="shared" si="130"/>
        <v>7953</v>
      </c>
      <c r="G124" s="23">
        <f t="shared" si="130"/>
        <v>7433</v>
      </c>
      <c r="H124" s="23">
        <f>SUM(H119:H123)</f>
        <v>8036</v>
      </c>
      <c r="I124" s="23">
        <f t="shared" ref="I124:K124" si="131">SUM(I119:I123)</f>
        <v>8113</v>
      </c>
      <c r="J124" s="23">
        <f t="shared" si="131"/>
        <v>9705</v>
      </c>
      <c r="K124" s="23">
        <f t="shared" si="131"/>
        <v>10335</v>
      </c>
      <c r="L124" s="50">
        <f>SUM(L119:L123)</f>
        <v>10519.377317330987</v>
      </c>
      <c r="M124" s="50">
        <f t="shared" ref="M124:R124" si="132">SUM(M119:M123)</f>
        <v>10017.312903801467</v>
      </c>
      <c r="N124" s="50">
        <f t="shared" si="132"/>
        <v>10411.904569879076</v>
      </c>
      <c r="O124" s="50">
        <f t="shared" si="132"/>
        <v>9971.9636583822776</v>
      </c>
      <c r="P124" s="50">
        <f t="shared" si="132"/>
        <v>10075.091351909583</v>
      </c>
      <c r="Q124" s="50">
        <f t="shared" si="132"/>
        <v>11417.789658728101</v>
      </c>
      <c r="R124" s="50">
        <f t="shared" si="132"/>
        <v>12986.574848130549</v>
      </c>
      <c r="S124" s="30"/>
      <c r="T124" s="50">
        <f>SUM(T119:T123)</f>
        <v>7953</v>
      </c>
      <c r="U124" s="50">
        <f t="shared" ref="U124:AA124" si="133">SUM(U119:U123)</f>
        <v>8036</v>
      </c>
      <c r="V124" s="50">
        <f t="shared" si="133"/>
        <v>9705</v>
      </c>
      <c r="W124" s="50">
        <f t="shared" si="133"/>
        <v>10519.377317330987</v>
      </c>
      <c r="X124" s="50">
        <f t="shared" si="133"/>
        <v>10411.904569879076</v>
      </c>
      <c r="Y124" s="50">
        <f t="shared" si="133"/>
        <v>10075.091351909583</v>
      </c>
      <c r="Z124" s="50">
        <f t="shared" si="133"/>
        <v>11417.789658728101</v>
      </c>
      <c r="AA124" s="50">
        <f t="shared" si="133"/>
        <v>12986.574848130549</v>
      </c>
      <c r="AB124" s="30"/>
      <c r="AC124" s="30"/>
      <c r="AD124" s="30"/>
    </row>
    <row r="125" spans="2:30" outlineLevel="1" x14ac:dyDescent="0.2"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51"/>
      <c r="M125" s="51"/>
      <c r="N125" s="51"/>
      <c r="O125" s="51"/>
      <c r="P125" s="51"/>
      <c r="Q125" s="51"/>
      <c r="R125" s="51"/>
      <c r="S125" s="30"/>
      <c r="T125" s="51"/>
      <c r="U125" s="51"/>
      <c r="V125" s="51"/>
      <c r="W125" s="51"/>
      <c r="X125" s="51"/>
      <c r="Y125" s="51"/>
      <c r="Z125" s="51"/>
      <c r="AA125" s="51"/>
      <c r="AB125" s="30"/>
      <c r="AC125" s="30"/>
      <c r="AD125" s="30"/>
    </row>
    <row r="126" spans="2:30" outlineLevel="1" x14ac:dyDescent="0.2">
      <c r="B126" s="10" t="s">
        <v>92</v>
      </c>
      <c r="C126" s="429"/>
      <c r="D126" s="429"/>
      <c r="E126" s="11"/>
      <c r="F126" s="11"/>
      <c r="G126" s="11"/>
      <c r="H126" s="11"/>
      <c r="I126" s="11"/>
      <c r="J126" s="11"/>
      <c r="K126" s="11"/>
      <c r="L126" s="52"/>
      <c r="M126" s="52"/>
      <c r="N126" s="52"/>
      <c r="O126" s="52"/>
      <c r="P126" s="52"/>
      <c r="Q126" s="52"/>
      <c r="R126" s="52"/>
      <c r="S126" s="30"/>
      <c r="T126" s="60" t="str">
        <f>$B126</f>
        <v>LIABILITIES &amp; EQUITY:</v>
      </c>
      <c r="U126" s="52"/>
      <c r="V126" s="52"/>
      <c r="W126" s="52"/>
      <c r="X126" s="52"/>
      <c r="Y126" s="52"/>
      <c r="Z126" s="52"/>
      <c r="AA126" s="52"/>
      <c r="AB126" s="30"/>
      <c r="AC126" s="30"/>
      <c r="AD126" s="30"/>
    </row>
    <row r="127" spans="2:30" outlineLevel="1" x14ac:dyDescent="0.2">
      <c r="B127" s="30"/>
      <c r="C127" s="31" t="s">
        <v>93</v>
      </c>
      <c r="D127" s="2" t="s">
        <v>35</v>
      </c>
      <c r="E127" s="4">
        <v>1726</v>
      </c>
      <c r="F127" s="4">
        <v>1069</v>
      </c>
      <c r="G127" s="4">
        <v>974</v>
      </c>
      <c r="H127" s="4">
        <v>614</v>
      </c>
      <c r="I127" s="4">
        <v>662</v>
      </c>
      <c r="J127" s="4">
        <v>846</v>
      </c>
      <c r="K127" s="4">
        <v>1780</v>
      </c>
      <c r="L127" s="41">
        <f>SUM(K94:L94)*L66</f>
        <v>2282.3176750000002</v>
      </c>
      <c r="M127" s="41">
        <f>SUM(L94:M94)*M66</f>
        <v>2217.4532311500002</v>
      </c>
      <c r="N127" s="41">
        <f>SUM(M94:N94)*N66</f>
        <v>2130.0191734499995</v>
      </c>
      <c r="O127" s="41">
        <f>SUM(N94:O94)*O66</f>
        <v>1633.8744827999999</v>
      </c>
      <c r="P127" s="41">
        <f>SUM(O94:P94)*P66</f>
        <v>1469.3001086399997</v>
      </c>
      <c r="Q127" s="41">
        <f>Q94*Q66</f>
        <v>1707.3004003124997</v>
      </c>
      <c r="R127" s="41">
        <f>R94*R66</f>
        <v>1969.1342852343744</v>
      </c>
      <c r="S127" s="30"/>
      <c r="T127" s="41">
        <f t="shared" ref="T127:AA131" si="134">INDEX($E127:$R127,1,MATCH(T$117,$E$117:$R$117,0))</f>
        <v>1069</v>
      </c>
      <c r="U127" s="41">
        <f t="shared" si="134"/>
        <v>614</v>
      </c>
      <c r="V127" s="41">
        <f t="shared" si="134"/>
        <v>846</v>
      </c>
      <c r="W127" s="41">
        <f t="shared" si="134"/>
        <v>2282.3176750000002</v>
      </c>
      <c r="X127" s="41">
        <f t="shared" si="134"/>
        <v>2130.0191734499995</v>
      </c>
      <c r="Y127" s="41">
        <f t="shared" si="134"/>
        <v>1469.3001086399997</v>
      </c>
      <c r="Z127" s="41">
        <f t="shared" si="134"/>
        <v>1707.3004003124997</v>
      </c>
      <c r="AA127" s="41">
        <f t="shared" si="134"/>
        <v>1969.1342852343744</v>
      </c>
      <c r="AB127" s="30"/>
      <c r="AC127" s="30"/>
      <c r="AD127" s="30"/>
    </row>
    <row r="128" spans="2:30" outlineLevel="1" x14ac:dyDescent="0.2">
      <c r="B128" s="30"/>
      <c r="C128" s="31" t="s">
        <v>94</v>
      </c>
      <c r="D128" s="2" t="s">
        <v>35</v>
      </c>
      <c r="E128" s="5">
        <v>817</v>
      </c>
      <c r="F128" s="5">
        <v>1050</v>
      </c>
      <c r="G128" s="5">
        <v>1660</v>
      </c>
      <c r="H128" s="5">
        <v>1242</v>
      </c>
      <c r="I128" s="5">
        <v>801</v>
      </c>
      <c r="J128" s="5">
        <v>1128</v>
      </c>
      <c r="K128" s="5">
        <v>1368</v>
      </c>
      <c r="L128" s="33">
        <f>-SUM(K95:L96)*L67</f>
        <v>1570.6896000000002</v>
      </c>
      <c r="M128" s="33">
        <f>-SUM(L95:M96)*M67</f>
        <v>1582.4937660000001</v>
      </c>
      <c r="N128" s="33">
        <f>-SUM(M95:N96)*N67</f>
        <v>1615.302864</v>
      </c>
      <c r="O128" s="33">
        <f>-SUM(N95:O96)*O67</f>
        <v>1451.68968</v>
      </c>
      <c r="P128" s="33">
        <f>-SUM(O95:P96)*P67</f>
        <v>1591.9521449999995</v>
      </c>
      <c r="Q128" s="33">
        <f>-SUM(Q95:Q96)*Q67</f>
        <v>1841.8525781249991</v>
      </c>
      <c r="R128" s="33">
        <f>-SUM(R95:R96)*R67</f>
        <v>2102.6201273437496</v>
      </c>
      <c r="S128" s="30"/>
      <c r="T128" s="33">
        <f t="shared" si="134"/>
        <v>1050</v>
      </c>
      <c r="U128" s="33">
        <f t="shared" si="134"/>
        <v>1242</v>
      </c>
      <c r="V128" s="33">
        <f t="shared" si="134"/>
        <v>1128</v>
      </c>
      <c r="W128" s="33">
        <f t="shared" si="134"/>
        <v>1570.6896000000002</v>
      </c>
      <c r="X128" s="33">
        <f t="shared" si="134"/>
        <v>1615.302864</v>
      </c>
      <c r="Y128" s="33">
        <f t="shared" si="134"/>
        <v>1591.9521449999995</v>
      </c>
      <c r="Z128" s="33">
        <f t="shared" si="134"/>
        <v>1841.8525781249991</v>
      </c>
      <c r="AA128" s="33">
        <f t="shared" si="134"/>
        <v>2102.6201273437496</v>
      </c>
      <c r="AB128" s="30"/>
      <c r="AC128" s="30"/>
      <c r="AD128" s="30"/>
    </row>
    <row r="129" spans="2:30" outlineLevel="1" x14ac:dyDescent="0.2">
      <c r="B129" s="30"/>
      <c r="C129" s="31" t="s">
        <v>95</v>
      </c>
      <c r="D129" s="2" t="s">
        <v>35</v>
      </c>
      <c r="E129" s="5">
        <v>735</v>
      </c>
      <c r="F129" s="5">
        <v>947</v>
      </c>
      <c r="G129" s="5">
        <v>852</v>
      </c>
      <c r="H129" s="5">
        <v>840</v>
      </c>
      <c r="I129" s="5">
        <v>718</v>
      </c>
      <c r="J129" s="5">
        <v>646</v>
      </c>
      <c r="K129" s="5">
        <v>646</v>
      </c>
      <c r="L129" s="33">
        <f>-SUM(K95:L96)*L68</f>
        <v>785.34480000000008</v>
      </c>
      <c r="M129" s="33">
        <f>-SUM(L95:M96)*M68</f>
        <v>904.28215200000022</v>
      </c>
      <c r="N129" s="33">
        <f>-SUM(M95:N96)*N68</f>
        <v>942.26000399999998</v>
      </c>
      <c r="O129" s="33">
        <f>-SUM(N95:O96)*O68</f>
        <v>1016.1827759999999</v>
      </c>
      <c r="P129" s="33">
        <f>-SUM(O95:P96)*P68</f>
        <v>1082.5274585999998</v>
      </c>
      <c r="Q129" s="33">
        <f>-SUM(Q95:Q96)*Q68</f>
        <v>1252.4597531249995</v>
      </c>
      <c r="R129" s="33">
        <f>-SUM(R95:R96)*R68</f>
        <v>1429.7816865937498</v>
      </c>
      <c r="S129" s="30"/>
      <c r="T129" s="33">
        <f t="shared" si="134"/>
        <v>947</v>
      </c>
      <c r="U129" s="33">
        <f t="shared" si="134"/>
        <v>840</v>
      </c>
      <c r="V129" s="33">
        <f t="shared" si="134"/>
        <v>646</v>
      </c>
      <c r="W129" s="33">
        <f t="shared" si="134"/>
        <v>785.34480000000008</v>
      </c>
      <c r="X129" s="33">
        <f t="shared" si="134"/>
        <v>942.26000399999998</v>
      </c>
      <c r="Y129" s="33">
        <f t="shared" si="134"/>
        <v>1082.5274585999998</v>
      </c>
      <c r="Z129" s="33">
        <f t="shared" si="134"/>
        <v>1252.4597531249995</v>
      </c>
      <c r="AA129" s="33">
        <f t="shared" si="134"/>
        <v>1429.7816865937498</v>
      </c>
      <c r="AB129" s="30"/>
      <c r="AC129" s="30"/>
      <c r="AD129" s="30"/>
    </row>
    <row r="130" spans="2:30" outlineLevel="1" x14ac:dyDescent="0.2">
      <c r="B130" s="30"/>
      <c r="C130" s="31" t="s">
        <v>96</v>
      </c>
      <c r="D130" s="2" t="s">
        <v>35</v>
      </c>
      <c r="E130" s="5">
        <v>623</v>
      </c>
      <c r="F130" s="5">
        <v>578</v>
      </c>
      <c r="G130" s="5">
        <v>536</v>
      </c>
      <c r="H130" s="5">
        <v>710</v>
      </c>
      <c r="I130" s="5">
        <v>1027</v>
      </c>
      <c r="J130" s="5">
        <v>1079</v>
      </c>
      <c r="K130" s="5">
        <v>1055</v>
      </c>
      <c r="L130" s="33">
        <f>K130+L163+L164</f>
        <v>1055</v>
      </c>
      <c r="M130" s="33">
        <f t="shared" ref="M130:R130" si="135">L130+M163+M164</f>
        <v>1079.0009</v>
      </c>
      <c r="N130" s="33">
        <f t="shared" si="135"/>
        <v>1099.1583800000001</v>
      </c>
      <c r="O130" s="33">
        <f t="shared" si="135"/>
        <v>1139.4798920000001</v>
      </c>
      <c r="P130" s="33">
        <f t="shared" si="135"/>
        <v>1170.3880279999998</v>
      </c>
      <c r="Q130" s="33">
        <f t="shared" si="135"/>
        <v>1263.4500529999998</v>
      </c>
      <c r="R130" s="33">
        <f t="shared" si="135"/>
        <v>1403.0430904999996</v>
      </c>
      <c r="S130" s="30"/>
      <c r="T130" s="33">
        <f t="shared" si="134"/>
        <v>578</v>
      </c>
      <c r="U130" s="33">
        <f t="shared" si="134"/>
        <v>710</v>
      </c>
      <c r="V130" s="33">
        <f t="shared" si="134"/>
        <v>1079</v>
      </c>
      <c r="W130" s="33">
        <f t="shared" si="134"/>
        <v>1055</v>
      </c>
      <c r="X130" s="33">
        <f t="shared" si="134"/>
        <v>1099.1583800000001</v>
      </c>
      <c r="Y130" s="33">
        <f t="shared" si="134"/>
        <v>1170.3880279999998</v>
      </c>
      <c r="Z130" s="33">
        <f t="shared" si="134"/>
        <v>1263.4500529999998</v>
      </c>
      <c r="AA130" s="33">
        <f t="shared" si="134"/>
        <v>1403.0430904999996</v>
      </c>
      <c r="AB130" s="30"/>
      <c r="AC130" s="30"/>
      <c r="AD130" s="30"/>
    </row>
    <row r="131" spans="2:30" outlineLevel="1" x14ac:dyDescent="0.2">
      <c r="B131" s="30"/>
      <c r="C131" s="31" t="s">
        <v>97</v>
      </c>
      <c r="D131" s="21" t="s">
        <v>35</v>
      </c>
      <c r="E131" s="5">
        <v>858</v>
      </c>
      <c r="F131" s="5">
        <v>1324</v>
      </c>
      <c r="G131" s="5">
        <v>1319</v>
      </c>
      <c r="H131" s="5">
        <v>2731</v>
      </c>
      <c r="I131" s="5">
        <v>3323</v>
      </c>
      <c r="J131" s="5">
        <v>3367</v>
      </c>
      <c r="K131" s="5">
        <v>3046</v>
      </c>
      <c r="L131" s="33">
        <f>K131+L160</f>
        <v>2261</v>
      </c>
      <c r="M131" s="33">
        <f t="shared" ref="M131:R131" si="136">L131+M160</f>
        <v>1881</v>
      </c>
      <c r="N131" s="33">
        <f t="shared" si="136"/>
        <v>1881</v>
      </c>
      <c r="O131" s="33">
        <f t="shared" si="136"/>
        <v>2227.2882439550822</v>
      </c>
      <c r="P131" s="33">
        <f t="shared" si="136"/>
        <v>1708.9149908209888</v>
      </c>
      <c r="Q131" s="33">
        <f t="shared" si="136"/>
        <v>2015.0143619199953</v>
      </c>
      <c r="R131" s="33">
        <f t="shared" si="136"/>
        <v>2392.2930003713955</v>
      </c>
      <c r="S131" s="30"/>
      <c r="T131" s="33">
        <f t="shared" si="134"/>
        <v>1324</v>
      </c>
      <c r="U131" s="33">
        <f t="shared" si="134"/>
        <v>2731</v>
      </c>
      <c r="V131" s="33">
        <f t="shared" si="134"/>
        <v>3367</v>
      </c>
      <c r="W131" s="33">
        <f t="shared" si="134"/>
        <v>2261</v>
      </c>
      <c r="X131" s="33">
        <f t="shared" si="134"/>
        <v>1881</v>
      </c>
      <c r="Y131" s="33">
        <f t="shared" si="134"/>
        <v>1708.9149908209888</v>
      </c>
      <c r="Z131" s="33">
        <f t="shared" si="134"/>
        <v>2015.0143619199953</v>
      </c>
      <c r="AA131" s="33">
        <f t="shared" si="134"/>
        <v>2392.2930003713955</v>
      </c>
      <c r="AB131" s="30"/>
      <c r="AC131" s="30"/>
      <c r="AD131" s="30"/>
    </row>
    <row r="132" spans="2:30" outlineLevel="1" x14ac:dyDescent="0.2">
      <c r="B132" s="30"/>
      <c r="C132" s="20" t="s">
        <v>98</v>
      </c>
      <c r="D132" s="2" t="s">
        <v>35</v>
      </c>
      <c r="E132" s="24">
        <f>SUM(E127:E131)</f>
        <v>4759</v>
      </c>
      <c r="F132" s="24">
        <f t="shared" ref="F132:K132" si="137">SUM(F127:F131)</f>
        <v>4968</v>
      </c>
      <c r="G132" s="24">
        <f t="shared" si="137"/>
        <v>5341</v>
      </c>
      <c r="H132" s="24">
        <f t="shared" si="137"/>
        <v>6137</v>
      </c>
      <c r="I132" s="24">
        <f t="shared" si="137"/>
        <v>6531</v>
      </c>
      <c r="J132" s="24">
        <f t="shared" si="137"/>
        <v>7066</v>
      </c>
      <c r="K132" s="24">
        <f t="shared" si="137"/>
        <v>7895</v>
      </c>
      <c r="L132" s="53">
        <f>SUM(L127:L131)</f>
        <v>7954.3520750000007</v>
      </c>
      <c r="M132" s="53">
        <f t="shared" ref="M132:R132" si="138">SUM(M127:M131)</f>
        <v>7664.23004915</v>
      </c>
      <c r="N132" s="53">
        <f t="shared" si="138"/>
        <v>7667.7404214499993</v>
      </c>
      <c r="O132" s="53">
        <f t="shared" si="138"/>
        <v>7468.5150747550824</v>
      </c>
      <c r="P132" s="53">
        <f t="shared" si="138"/>
        <v>7023.0827310609875</v>
      </c>
      <c r="Q132" s="53">
        <f t="shared" si="138"/>
        <v>8080.0771464824929</v>
      </c>
      <c r="R132" s="53">
        <f t="shared" si="138"/>
        <v>9296.8721900432683</v>
      </c>
      <c r="S132" s="30"/>
      <c r="T132" s="53">
        <f>SUM(T127:T131)</f>
        <v>4968</v>
      </c>
      <c r="U132" s="53">
        <f t="shared" ref="U132:AA132" si="139">SUM(U127:U131)</f>
        <v>6137</v>
      </c>
      <c r="V132" s="53">
        <f t="shared" si="139"/>
        <v>7066</v>
      </c>
      <c r="W132" s="53">
        <f t="shared" si="139"/>
        <v>7954.3520750000007</v>
      </c>
      <c r="X132" s="53">
        <f t="shared" si="139"/>
        <v>7667.7404214499993</v>
      </c>
      <c r="Y132" s="53">
        <f t="shared" si="139"/>
        <v>7023.0827310609875</v>
      </c>
      <c r="Z132" s="53">
        <f t="shared" si="139"/>
        <v>8080.0771464824929</v>
      </c>
      <c r="AA132" s="53">
        <f t="shared" si="139"/>
        <v>9296.8721900432683</v>
      </c>
      <c r="AB132" s="30"/>
      <c r="AC132" s="30"/>
      <c r="AD132" s="30"/>
    </row>
    <row r="133" spans="2:30" outlineLevel="1" x14ac:dyDescent="0.2">
      <c r="B133" s="30"/>
      <c r="C133" s="30"/>
      <c r="D133" s="30"/>
      <c r="E133" s="34"/>
      <c r="F133" s="34"/>
      <c r="G133" s="34"/>
      <c r="H133" s="34"/>
      <c r="I133" s="34"/>
      <c r="J133" s="34"/>
      <c r="K133" s="34"/>
      <c r="L133" s="33"/>
      <c r="M133" s="33"/>
      <c r="N133" s="33"/>
      <c r="O133" s="33"/>
      <c r="P133" s="33"/>
      <c r="Q133" s="33"/>
      <c r="R133" s="33"/>
      <c r="S133" s="30"/>
      <c r="T133" s="33"/>
      <c r="U133" s="33"/>
      <c r="V133" s="33"/>
      <c r="W133" s="33"/>
      <c r="X133" s="33"/>
      <c r="Y133" s="33"/>
      <c r="Z133" s="33"/>
      <c r="AA133" s="33"/>
      <c r="AB133" s="30"/>
      <c r="AC133" s="30"/>
      <c r="AD133" s="30"/>
    </row>
    <row r="134" spans="2:30" outlineLevel="1" x14ac:dyDescent="0.2">
      <c r="B134" s="30"/>
      <c r="C134" s="19" t="s">
        <v>99</v>
      </c>
      <c r="D134" s="2" t="s">
        <v>35</v>
      </c>
      <c r="E134" s="32">
        <v>2516</v>
      </c>
      <c r="F134" s="32">
        <v>2985</v>
      </c>
      <c r="G134" s="32">
        <v>2092</v>
      </c>
      <c r="H134" s="32">
        <v>1899</v>
      </c>
      <c r="I134" s="32">
        <v>1582</v>
      </c>
      <c r="J134" s="32">
        <v>2639</v>
      </c>
      <c r="K134" s="32">
        <v>2440</v>
      </c>
      <c r="L134" s="29">
        <f>K134+L143+L146+L148+L159+L161+L162+L167</f>
        <v>2565.0252423309862</v>
      </c>
      <c r="M134" s="29">
        <f t="shared" ref="M134:R134" si="140">L134+M143+M146+M148+M159+M161+M162+M167</f>
        <v>2353.0828546514663</v>
      </c>
      <c r="N134" s="29">
        <f t="shared" si="140"/>
        <v>2744.1641484290776</v>
      </c>
      <c r="O134" s="29">
        <f t="shared" si="140"/>
        <v>2503.4485836271956</v>
      </c>
      <c r="P134" s="29">
        <f t="shared" si="140"/>
        <v>3052.0086208485927</v>
      </c>
      <c r="Q134" s="29">
        <f t="shared" si="140"/>
        <v>3337.7125122456059</v>
      </c>
      <c r="R134" s="29">
        <f t="shared" si="140"/>
        <v>3689.7026580872771</v>
      </c>
      <c r="S134" s="30"/>
      <c r="T134" s="29">
        <f t="shared" ref="T134:AA134" si="141">INDEX($E134:$R134,1,MATCH(T$117,$E$117:$R$117,0))</f>
        <v>2985</v>
      </c>
      <c r="U134" s="29">
        <f t="shared" si="141"/>
        <v>1899</v>
      </c>
      <c r="V134" s="29">
        <f t="shared" si="141"/>
        <v>2639</v>
      </c>
      <c r="W134" s="29">
        <f t="shared" si="141"/>
        <v>2565.0252423309862</v>
      </c>
      <c r="X134" s="29">
        <f t="shared" si="141"/>
        <v>2744.1641484290776</v>
      </c>
      <c r="Y134" s="29">
        <f t="shared" si="141"/>
        <v>3052.0086208485927</v>
      </c>
      <c r="Z134" s="29">
        <f t="shared" si="141"/>
        <v>3337.7125122456059</v>
      </c>
      <c r="AA134" s="29">
        <f t="shared" si="141"/>
        <v>3689.7026580872771</v>
      </c>
      <c r="AB134" s="30"/>
      <c r="AC134" s="30"/>
      <c r="AD134" s="30"/>
    </row>
    <row r="135" spans="2:30" outlineLevel="1" x14ac:dyDescent="0.2">
      <c r="B135" s="30"/>
      <c r="C135" s="30"/>
      <c r="D135" s="30"/>
      <c r="E135" s="34"/>
      <c r="F135" s="34"/>
      <c r="G135" s="34"/>
      <c r="H135" s="34"/>
      <c r="I135" s="34"/>
      <c r="J135" s="34"/>
      <c r="K135" s="34"/>
      <c r="L135" s="33"/>
      <c r="M135" s="33"/>
      <c r="N135" s="33"/>
      <c r="O135" s="33"/>
      <c r="P135" s="33"/>
      <c r="Q135" s="33"/>
      <c r="R135" s="33"/>
      <c r="S135" s="30"/>
      <c r="T135" s="33"/>
      <c r="U135" s="33"/>
      <c r="V135" s="33"/>
      <c r="W135" s="33"/>
      <c r="X135" s="33"/>
      <c r="Y135" s="33"/>
      <c r="Z135" s="33"/>
      <c r="AA135" s="33"/>
      <c r="AB135" s="30"/>
      <c r="AC135" s="30"/>
      <c r="AD135" s="30"/>
    </row>
    <row r="136" spans="2:30" outlineLevel="1" x14ac:dyDescent="0.2">
      <c r="B136" s="30"/>
      <c r="C136" s="19" t="s">
        <v>100</v>
      </c>
      <c r="D136" s="2" t="s">
        <v>35</v>
      </c>
      <c r="E136" s="22">
        <f t="shared" ref="E136:K136" si="142">E132+E134</f>
        <v>7275</v>
      </c>
      <c r="F136" s="22">
        <f t="shared" si="142"/>
        <v>7953</v>
      </c>
      <c r="G136" s="22">
        <f t="shared" si="142"/>
        <v>7433</v>
      </c>
      <c r="H136" s="22">
        <f t="shared" si="142"/>
        <v>8036</v>
      </c>
      <c r="I136" s="22">
        <f t="shared" si="142"/>
        <v>8113</v>
      </c>
      <c r="J136" s="22">
        <f t="shared" si="142"/>
        <v>9705</v>
      </c>
      <c r="K136" s="22">
        <f t="shared" si="142"/>
        <v>10335</v>
      </c>
      <c r="L136" s="22">
        <f t="shared" ref="L136:R136" si="143">L132+L134</f>
        <v>10519.377317330987</v>
      </c>
      <c r="M136" s="22">
        <f t="shared" si="143"/>
        <v>10017.312903801467</v>
      </c>
      <c r="N136" s="22">
        <f t="shared" si="143"/>
        <v>10411.904569879076</v>
      </c>
      <c r="O136" s="22">
        <f t="shared" si="143"/>
        <v>9971.9636583822776</v>
      </c>
      <c r="P136" s="22">
        <f t="shared" si="143"/>
        <v>10075.091351909581</v>
      </c>
      <c r="Q136" s="22">
        <f t="shared" si="143"/>
        <v>11417.789658728099</v>
      </c>
      <c r="R136" s="22">
        <f t="shared" si="143"/>
        <v>12986.574848130545</v>
      </c>
      <c r="S136" s="30"/>
      <c r="T136" s="22">
        <f t="shared" ref="T136:AA136" si="144">T132+T134</f>
        <v>7953</v>
      </c>
      <c r="U136" s="22">
        <f t="shared" si="144"/>
        <v>8036</v>
      </c>
      <c r="V136" s="22">
        <f t="shared" si="144"/>
        <v>9705</v>
      </c>
      <c r="W136" s="22">
        <f t="shared" si="144"/>
        <v>10519.377317330987</v>
      </c>
      <c r="X136" s="22">
        <f t="shared" si="144"/>
        <v>10411.904569879076</v>
      </c>
      <c r="Y136" s="22">
        <f t="shared" si="144"/>
        <v>10075.091351909581</v>
      </c>
      <c r="Z136" s="22">
        <f t="shared" si="144"/>
        <v>11417.789658728099</v>
      </c>
      <c r="AA136" s="22">
        <f t="shared" si="144"/>
        <v>12986.574848130545</v>
      </c>
      <c r="AB136" s="30"/>
      <c r="AC136" s="30"/>
      <c r="AD136" s="30"/>
    </row>
    <row r="137" spans="2:30" outlineLevel="1" x14ac:dyDescent="0.2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spans="2:30" outlineLevel="1" x14ac:dyDescent="0.2">
      <c r="B138" s="30"/>
      <c r="C138" s="30" t="s">
        <v>101</v>
      </c>
      <c r="D138" s="30"/>
      <c r="E138" s="434">
        <f t="shared" ref="E138:K138" si="145">E124-E136</f>
        <v>0</v>
      </c>
      <c r="F138" s="434">
        <f t="shared" si="145"/>
        <v>0</v>
      </c>
      <c r="G138" s="434">
        <f t="shared" si="145"/>
        <v>0</v>
      </c>
      <c r="H138" s="434">
        <f t="shared" si="145"/>
        <v>0</v>
      </c>
      <c r="I138" s="434">
        <f t="shared" si="145"/>
        <v>0</v>
      </c>
      <c r="J138" s="434">
        <f t="shared" si="145"/>
        <v>0</v>
      </c>
      <c r="K138" s="434">
        <f t="shared" si="145"/>
        <v>0</v>
      </c>
      <c r="L138" s="435">
        <f t="shared" ref="L138:R138" si="146">L124-L136</f>
        <v>0</v>
      </c>
      <c r="M138" s="434">
        <f t="shared" si="146"/>
        <v>0</v>
      </c>
      <c r="N138" s="434">
        <f t="shared" si="146"/>
        <v>0</v>
      </c>
      <c r="O138" s="434">
        <f t="shared" si="146"/>
        <v>0</v>
      </c>
      <c r="P138" s="434">
        <f t="shared" si="146"/>
        <v>0</v>
      </c>
      <c r="Q138" s="434">
        <f t="shared" si="146"/>
        <v>0</v>
      </c>
      <c r="R138" s="434">
        <f t="shared" si="146"/>
        <v>0</v>
      </c>
      <c r="S138" s="30"/>
      <c r="T138" s="434">
        <f t="shared" ref="T138:AA138" si="147">T124-T136</f>
        <v>0</v>
      </c>
      <c r="U138" s="434">
        <f t="shared" si="147"/>
        <v>0</v>
      </c>
      <c r="V138" s="434">
        <f t="shared" si="147"/>
        <v>0</v>
      </c>
      <c r="W138" s="434">
        <f t="shared" si="147"/>
        <v>0</v>
      </c>
      <c r="X138" s="434">
        <f t="shared" si="147"/>
        <v>0</v>
      </c>
      <c r="Y138" s="434">
        <f t="shared" si="147"/>
        <v>0</v>
      </c>
      <c r="Z138" s="435">
        <f t="shared" si="147"/>
        <v>0</v>
      </c>
      <c r="AA138" s="435">
        <f t="shared" si="147"/>
        <v>0</v>
      </c>
      <c r="AB138" s="30"/>
      <c r="AC138" s="30"/>
      <c r="AD138" s="30"/>
    </row>
    <row r="139" spans="2:30" x14ac:dyDescent="0.2"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431"/>
      <c r="U139" s="431"/>
      <c r="V139" s="431"/>
      <c r="W139" s="431"/>
      <c r="X139" s="431"/>
      <c r="Y139" s="431"/>
      <c r="Z139" s="436"/>
      <c r="AA139" s="436"/>
      <c r="AB139" s="30"/>
      <c r="AC139" s="30"/>
      <c r="AD139" s="30"/>
    </row>
    <row r="140" spans="2:30" x14ac:dyDescent="0.2">
      <c r="B140" s="6"/>
      <c r="C140" s="6"/>
      <c r="D140" s="6"/>
      <c r="E140" s="12" t="str">
        <f ca="1">$E$25</f>
        <v>Historical (Half-Years):</v>
      </c>
      <c r="F140" s="14"/>
      <c r="G140" s="14"/>
      <c r="H140" s="14"/>
      <c r="I140" s="14"/>
      <c r="J140" s="14"/>
      <c r="K140" s="15"/>
      <c r="L140" s="401"/>
      <c r="M140" s="14"/>
      <c r="N140" s="14"/>
      <c r="O140" s="14"/>
      <c r="P140" s="15"/>
      <c r="Q140" s="12" t="str">
        <f>$Q$25</f>
        <v>Projected (Annual):</v>
      </c>
      <c r="R140" s="14"/>
      <c r="S140" s="30"/>
      <c r="T140" s="12" t="str">
        <f>$T$25</f>
        <v>Historical:</v>
      </c>
      <c r="U140" s="14"/>
      <c r="V140" s="14"/>
      <c r="W140" s="14"/>
      <c r="X140" s="398"/>
      <c r="Y140" s="403"/>
      <c r="Z140" s="402" t="str">
        <f>$Q$25</f>
        <v>Projected (Annual):</v>
      </c>
      <c r="AA140" s="12"/>
      <c r="AB140" s="30"/>
      <c r="AC140" s="30"/>
      <c r="AD140" s="30"/>
    </row>
    <row r="141" spans="2:30" x14ac:dyDescent="0.2">
      <c r="B141" s="7" t="s">
        <v>102</v>
      </c>
      <c r="C141" s="8"/>
      <c r="D141" s="9" t="str">
        <f>$D$5</f>
        <v>Units:</v>
      </c>
      <c r="E141" s="13">
        <f>$E$26</f>
        <v>43555</v>
      </c>
      <c r="F141" s="16">
        <f>$F$26</f>
        <v>43738</v>
      </c>
      <c r="G141" s="13">
        <f>$G$26</f>
        <v>43921</v>
      </c>
      <c r="H141" s="16">
        <f>$H$26</f>
        <v>44104</v>
      </c>
      <c r="I141" s="13">
        <f>$I$26</f>
        <v>44286</v>
      </c>
      <c r="J141" s="16">
        <f>$J$26</f>
        <v>44469</v>
      </c>
      <c r="K141" s="409">
        <f>$K$26</f>
        <v>44651</v>
      </c>
      <c r="L141" s="416">
        <f>$L$26</f>
        <v>44834</v>
      </c>
      <c r="M141" s="13">
        <f>$M$26</f>
        <v>45016</v>
      </c>
      <c r="N141" s="16">
        <f>$N$26</f>
        <v>45199</v>
      </c>
      <c r="O141" s="13">
        <f>$O$26</f>
        <v>45382</v>
      </c>
      <c r="P141" s="65">
        <f>$P$26</f>
        <v>45565</v>
      </c>
      <c r="Q141" s="37">
        <f>$Q$26</f>
        <v>45930</v>
      </c>
      <c r="R141" s="37">
        <f>$R$26</f>
        <v>46295</v>
      </c>
      <c r="S141" s="30"/>
      <c r="T141" s="37">
        <f>$T$26</f>
        <v>43738</v>
      </c>
      <c r="U141" s="37">
        <f>$U$26</f>
        <v>44104</v>
      </c>
      <c r="V141" s="37">
        <f>$V$26</f>
        <v>44469</v>
      </c>
      <c r="W141" s="414">
        <f>$W$26</f>
        <v>44834</v>
      </c>
      <c r="X141" s="37">
        <f>$X$26</f>
        <v>45199</v>
      </c>
      <c r="Y141" s="418">
        <f>$Y$26</f>
        <v>45565</v>
      </c>
      <c r="Z141" s="417">
        <f>$Z$26</f>
        <v>45930</v>
      </c>
      <c r="AA141" s="37">
        <f>$AA$26</f>
        <v>46295</v>
      </c>
      <c r="AB141" s="30"/>
      <c r="AC141" s="30"/>
      <c r="AD141" s="30"/>
    </row>
    <row r="142" spans="2:30" outlineLevel="1" x14ac:dyDescent="0.2">
      <c r="B142" s="10" t="s">
        <v>103</v>
      </c>
      <c r="C142" s="429"/>
      <c r="D142" s="429"/>
      <c r="E142" s="11"/>
      <c r="F142" s="11"/>
      <c r="G142" s="11"/>
      <c r="H142" s="11"/>
      <c r="I142" s="11"/>
      <c r="J142" s="11"/>
      <c r="K142" s="11"/>
      <c r="L142" s="400"/>
      <c r="M142" s="11"/>
      <c r="N142" s="11"/>
      <c r="O142" s="11"/>
      <c r="P142" s="11"/>
      <c r="Q142" s="11"/>
      <c r="R142" s="11"/>
      <c r="S142" s="30"/>
      <c r="T142" s="10" t="str">
        <f>$B142</f>
        <v>CASH FLOW FROM OPERATIONS:</v>
      </c>
      <c r="U142" s="429"/>
      <c r="V142" s="429"/>
      <c r="W142" s="400"/>
      <c r="X142" s="11"/>
      <c r="Y142" s="11"/>
      <c r="Z142" s="11"/>
      <c r="AA142" s="11"/>
      <c r="AB142" s="30"/>
      <c r="AC142" s="30"/>
      <c r="AD142" s="30"/>
    </row>
    <row r="143" spans="2:30" outlineLevel="1" x14ac:dyDescent="0.2">
      <c r="B143" s="30"/>
      <c r="C143" s="19" t="s">
        <v>104</v>
      </c>
      <c r="D143" s="2" t="s">
        <v>35</v>
      </c>
      <c r="E143" s="22">
        <f>E114</f>
        <v>-218</v>
      </c>
      <c r="F143" s="22">
        <f t="shared" ref="F143:K143" si="148">F114</f>
        <v>567</v>
      </c>
      <c r="G143" s="22">
        <f t="shared" si="148"/>
        <v>-324</v>
      </c>
      <c r="H143" s="22">
        <f t="shared" si="148"/>
        <v>-755</v>
      </c>
      <c r="I143" s="22">
        <f t="shared" si="148"/>
        <v>-549</v>
      </c>
      <c r="J143" s="22">
        <f t="shared" si="148"/>
        <v>-309</v>
      </c>
      <c r="K143" s="22">
        <f t="shared" si="148"/>
        <v>-431</v>
      </c>
      <c r="L143" s="54">
        <f t="shared" ref="L143:R143" si="149">L114</f>
        <v>93.776069249999836</v>
      </c>
      <c r="M143" s="54">
        <f t="shared" si="149"/>
        <v>-241.2290198630443</v>
      </c>
      <c r="N143" s="54">
        <f t="shared" si="149"/>
        <v>340.12469793995945</v>
      </c>
      <c r="O143" s="54">
        <f t="shared" si="149"/>
        <v>-215.21088560235495</v>
      </c>
      <c r="P143" s="54">
        <f t="shared" si="149"/>
        <v>490.164268802089</v>
      </c>
      <c r="Q143" s="54">
        <f t="shared" si="149"/>
        <v>354.23211081631439</v>
      </c>
      <c r="R143" s="54">
        <f t="shared" si="149"/>
        <v>463.31262524968997</v>
      </c>
      <c r="S143" s="30"/>
      <c r="T143" s="54">
        <f t="shared" ref="T143:AA149" si="150">SUMIF($E$23:$R$23,T$23,$E143:$R143)</f>
        <v>349</v>
      </c>
      <c r="U143" s="54">
        <f t="shared" si="150"/>
        <v>-1079</v>
      </c>
      <c r="V143" s="54">
        <f t="shared" si="150"/>
        <v>-858</v>
      </c>
      <c r="W143" s="54">
        <f t="shared" si="150"/>
        <v>-337.22393075000014</v>
      </c>
      <c r="X143" s="54">
        <f t="shared" si="150"/>
        <v>98.895678076915146</v>
      </c>
      <c r="Y143" s="54">
        <f t="shared" si="150"/>
        <v>274.95338319973405</v>
      </c>
      <c r="Z143" s="54">
        <f t="shared" si="150"/>
        <v>354.23211081631439</v>
      </c>
      <c r="AA143" s="54">
        <f t="shared" si="150"/>
        <v>463.31262524968997</v>
      </c>
      <c r="AB143" s="30"/>
      <c r="AC143" s="30"/>
      <c r="AD143" s="30"/>
    </row>
    <row r="144" spans="2:30" outlineLevel="1" x14ac:dyDescent="0.2">
      <c r="B144" s="30"/>
      <c r="C144" s="31" t="s">
        <v>105</v>
      </c>
      <c r="D144" s="2" t="s">
        <v>35</v>
      </c>
      <c r="E144" s="34">
        <f>-E100</f>
        <v>115</v>
      </c>
      <c r="F144" s="34">
        <f t="shared" ref="F144:K144" si="151">-F100</f>
        <v>132</v>
      </c>
      <c r="G144" s="34">
        <f t="shared" si="151"/>
        <v>123</v>
      </c>
      <c r="H144" s="34">
        <f t="shared" si="151"/>
        <v>106</v>
      </c>
      <c r="I144" s="34">
        <f t="shared" si="151"/>
        <v>93</v>
      </c>
      <c r="J144" s="34">
        <f t="shared" si="151"/>
        <v>129</v>
      </c>
      <c r="K144" s="34">
        <f t="shared" si="151"/>
        <v>133</v>
      </c>
      <c r="L144" s="33">
        <f t="shared" ref="L144:R144" si="152">-L100</f>
        <v>143.982</v>
      </c>
      <c r="M144" s="33">
        <f t="shared" si="152"/>
        <v>120.00449999999999</v>
      </c>
      <c r="N144" s="33">
        <f t="shared" si="152"/>
        <v>134.38319999999999</v>
      </c>
      <c r="O144" s="33">
        <f t="shared" si="152"/>
        <v>132.48496799999998</v>
      </c>
      <c r="P144" s="33">
        <f t="shared" si="152"/>
        <v>146.81364599999998</v>
      </c>
      <c r="Q144" s="33">
        <f t="shared" si="152"/>
        <v>310.20674999999989</v>
      </c>
      <c r="R144" s="33">
        <f t="shared" si="152"/>
        <v>348.98259374999986</v>
      </c>
      <c r="S144" s="30"/>
      <c r="T144" s="33">
        <f t="shared" si="150"/>
        <v>247</v>
      </c>
      <c r="U144" s="33">
        <f t="shared" si="150"/>
        <v>229</v>
      </c>
      <c r="V144" s="33">
        <f t="shared" si="150"/>
        <v>222</v>
      </c>
      <c r="W144" s="33">
        <f t="shared" si="150"/>
        <v>276.98199999999997</v>
      </c>
      <c r="X144" s="33">
        <f t="shared" si="150"/>
        <v>254.3877</v>
      </c>
      <c r="Y144" s="33">
        <f t="shared" si="150"/>
        <v>279.29861399999993</v>
      </c>
      <c r="Z144" s="33">
        <f t="shared" si="150"/>
        <v>310.20674999999989</v>
      </c>
      <c r="AA144" s="33">
        <f t="shared" si="150"/>
        <v>348.98259374999986</v>
      </c>
      <c r="AB144" s="30"/>
      <c r="AC144" s="30"/>
      <c r="AD144" s="30"/>
    </row>
    <row r="145" spans="2:30" outlineLevel="1" x14ac:dyDescent="0.2">
      <c r="B145" s="30"/>
      <c r="C145" s="31" t="s">
        <v>106</v>
      </c>
      <c r="D145" s="2" t="s">
        <v>35</v>
      </c>
      <c r="E145" s="34">
        <f>-E102</f>
        <v>124</v>
      </c>
      <c r="F145" s="34">
        <f t="shared" ref="F145:K145" si="153">-F102</f>
        <v>133</v>
      </c>
      <c r="G145" s="34">
        <f t="shared" si="153"/>
        <v>139</v>
      </c>
      <c r="H145" s="34">
        <f t="shared" si="153"/>
        <v>136</v>
      </c>
      <c r="I145" s="34">
        <f t="shared" si="153"/>
        <v>124</v>
      </c>
      <c r="J145" s="34">
        <f t="shared" si="153"/>
        <v>139</v>
      </c>
      <c r="K145" s="34">
        <f t="shared" si="153"/>
        <v>145</v>
      </c>
      <c r="L145" s="33">
        <f t="shared" ref="L145:R145" si="154">-L102</f>
        <v>158.3802</v>
      </c>
      <c r="M145" s="33">
        <f t="shared" si="154"/>
        <v>134.40504000000001</v>
      </c>
      <c r="N145" s="33">
        <f t="shared" si="154"/>
        <v>154.54067999999998</v>
      </c>
      <c r="O145" s="33">
        <f t="shared" si="154"/>
        <v>149.76561599999999</v>
      </c>
      <c r="P145" s="33">
        <f t="shared" si="154"/>
        <v>169.99474799999996</v>
      </c>
      <c r="Q145" s="33">
        <f t="shared" si="154"/>
        <v>356.73776249999986</v>
      </c>
      <c r="R145" s="33">
        <f t="shared" si="154"/>
        <v>401.32998281249985</v>
      </c>
      <c r="S145" s="30"/>
      <c r="T145" s="33">
        <f t="shared" si="150"/>
        <v>257</v>
      </c>
      <c r="U145" s="33">
        <f t="shared" si="150"/>
        <v>275</v>
      </c>
      <c r="V145" s="33">
        <f t="shared" si="150"/>
        <v>263</v>
      </c>
      <c r="W145" s="33">
        <f t="shared" si="150"/>
        <v>303.3802</v>
      </c>
      <c r="X145" s="33">
        <f t="shared" si="150"/>
        <v>288.94571999999999</v>
      </c>
      <c r="Y145" s="33">
        <f t="shared" si="150"/>
        <v>319.76036399999998</v>
      </c>
      <c r="Z145" s="33">
        <f t="shared" si="150"/>
        <v>356.73776249999986</v>
      </c>
      <c r="AA145" s="33">
        <f t="shared" si="150"/>
        <v>401.32998281249985</v>
      </c>
      <c r="AB145" s="30"/>
      <c r="AC145" s="30"/>
      <c r="AD145" s="30"/>
    </row>
    <row r="146" spans="2:30" outlineLevel="1" x14ac:dyDescent="0.2">
      <c r="B146" s="30"/>
      <c r="C146" s="31" t="s">
        <v>107</v>
      </c>
      <c r="D146" s="2" t="s">
        <v>35</v>
      </c>
      <c r="E146" s="5">
        <v>7</v>
      </c>
      <c r="F146" s="5">
        <v>-17</v>
      </c>
      <c r="G146" s="5">
        <v>189</v>
      </c>
      <c r="H146" s="5">
        <v>126</v>
      </c>
      <c r="I146" s="5">
        <v>-27</v>
      </c>
      <c r="J146" s="5">
        <v>-128</v>
      </c>
      <c r="K146" s="5">
        <v>-90</v>
      </c>
      <c r="L146" s="33">
        <f t="shared" ref="L146:R146" si="155">-L70*L110</f>
        <v>-3.8714062500000002</v>
      </c>
      <c r="M146" s="33">
        <f t="shared" si="155"/>
        <v>-0.85839776537851831</v>
      </c>
      <c r="N146" s="33">
        <f t="shared" si="155"/>
        <v>0.49738158799197119</v>
      </c>
      <c r="O146" s="33">
        <f t="shared" si="155"/>
        <v>0.85066879952906505</v>
      </c>
      <c r="P146" s="33">
        <f t="shared" si="155"/>
        <v>-2.8049399395820909</v>
      </c>
      <c r="Q146" s="33">
        <f t="shared" si="155"/>
        <v>-4.4756543211123203</v>
      </c>
      <c r="R146" s="33">
        <f t="shared" si="155"/>
        <v>-10.069225985218102</v>
      </c>
      <c r="S146" s="30"/>
      <c r="T146" s="33">
        <f t="shared" si="150"/>
        <v>-10</v>
      </c>
      <c r="U146" s="33">
        <f t="shared" si="150"/>
        <v>315</v>
      </c>
      <c r="V146" s="33">
        <f t="shared" si="150"/>
        <v>-155</v>
      </c>
      <c r="W146" s="33">
        <f t="shared" si="150"/>
        <v>-93.871406250000007</v>
      </c>
      <c r="X146" s="33">
        <f t="shared" si="150"/>
        <v>-0.36101617738654712</v>
      </c>
      <c r="Y146" s="33">
        <f t="shared" si="150"/>
        <v>-1.9542711400530259</v>
      </c>
      <c r="Z146" s="33">
        <f t="shared" si="150"/>
        <v>-4.4756543211123203</v>
      </c>
      <c r="AA146" s="33">
        <f t="shared" si="150"/>
        <v>-10.069225985218102</v>
      </c>
      <c r="AB146" s="30"/>
      <c r="AC146" s="30"/>
      <c r="AD146" s="30"/>
    </row>
    <row r="147" spans="2:30" outlineLevel="1" x14ac:dyDescent="0.2">
      <c r="B147" s="30"/>
      <c r="C147" s="31" t="s">
        <v>108</v>
      </c>
      <c r="D147" s="2" t="s">
        <v>35</v>
      </c>
      <c r="E147" s="5">
        <v>-82</v>
      </c>
      <c r="F147" s="5">
        <v>105</v>
      </c>
      <c r="G147" s="5">
        <v>-49</v>
      </c>
      <c r="H147" s="5">
        <v>-132</v>
      </c>
      <c r="I147" s="5">
        <v>-101</v>
      </c>
      <c r="J147" s="5">
        <v>-76</v>
      </c>
      <c r="K147" s="5">
        <v>-125</v>
      </c>
      <c r="L147" s="33">
        <f t="shared" ref="L147:R147" si="156">L89</f>
        <v>21.996855749999963</v>
      </c>
      <c r="M147" s="33">
        <f t="shared" si="156"/>
        <v>-56.584584906146191</v>
      </c>
      <c r="N147" s="33">
        <f t="shared" si="156"/>
        <v>113.37489931331982</v>
      </c>
      <c r="O147" s="33">
        <f t="shared" si="156"/>
        <v>-71.736961867451654</v>
      </c>
      <c r="P147" s="33">
        <f t="shared" si="156"/>
        <v>163.38808960069633</v>
      </c>
      <c r="Q147" s="33">
        <f t="shared" si="156"/>
        <v>118.07737027210479</v>
      </c>
      <c r="R147" s="33">
        <f t="shared" si="156"/>
        <v>154.43754174989667</v>
      </c>
      <c r="S147" s="30"/>
      <c r="T147" s="33">
        <f t="shared" si="150"/>
        <v>23</v>
      </c>
      <c r="U147" s="33">
        <f t="shared" si="150"/>
        <v>-181</v>
      </c>
      <c r="V147" s="33">
        <f t="shared" si="150"/>
        <v>-177</v>
      </c>
      <c r="W147" s="33">
        <f t="shared" si="150"/>
        <v>-103.00314425000003</v>
      </c>
      <c r="X147" s="33">
        <f t="shared" si="150"/>
        <v>56.790314407173625</v>
      </c>
      <c r="Y147" s="33">
        <f t="shared" si="150"/>
        <v>91.651127733244678</v>
      </c>
      <c r="Z147" s="33">
        <f t="shared" si="150"/>
        <v>118.07737027210479</v>
      </c>
      <c r="AA147" s="33">
        <f t="shared" si="150"/>
        <v>154.43754174989667</v>
      </c>
      <c r="AB147" s="30"/>
      <c r="AC147" s="30"/>
      <c r="AD147" s="30"/>
    </row>
    <row r="148" spans="2:30" outlineLevel="1" x14ac:dyDescent="0.2">
      <c r="B148" s="30"/>
      <c r="C148" s="31" t="s">
        <v>109</v>
      </c>
      <c r="D148" s="2" t="s">
        <v>35</v>
      </c>
      <c r="E148" s="5">
        <v>8</v>
      </c>
      <c r="F148" s="5">
        <v>2</v>
      </c>
      <c r="G148" s="5">
        <v>17</v>
      </c>
      <c r="H148" s="5">
        <v>28</v>
      </c>
      <c r="I148" s="5">
        <v>-51</v>
      </c>
      <c r="J148" s="5">
        <v>27</v>
      </c>
      <c r="K148" s="5">
        <v>34</v>
      </c>
      <c r="L148" s="33">
        <f t="shared" ref="L148:R148" si="157">L94*L71</f>
        <v>5.303337</v>
      </c>
      <c r="M148" s="33">
        <f t="shared" si="157"/>
        <v>4.5520106939999998</v>
      </c>
      <c r="N148" s="33">
        <f t="shared" si="157"/>
        <v>7.6195274399999988</v>
      </c>
      <c r="O148" s="33">
        <f t="shared" si="157"/>
        <v>5.4514684223999996</v>
      </c>
      <c r="P148" s="33">
        <f t="shared" si="157"/>
        <v>9.2415326639999975</v>
      </c>
      <c r="Q148" s="33">
        <f t="shared" si="157"/>
        <v>17.073004003124996</v>
      </c>
      <c r="R148" s="33">
        <f t="shared" si="157"/>
        <v>19.691342852343745</v>
      </c>
      <c r="S148" s="30"/>
      <c r="T148" s="33">
        <f t="shared" si="150"/>
        <v>10</v>
      </c>
      <c r="U148" s="33">
        <f t="shared" si="150"/>
        <v>45</v>
      </c>
      <c r="V148" s="33">
        <f t="shared" si="150"/>
        <v>-24</v>
      </c>
      <c r="W148" s="33">
        <f t="shared" si="150"/>
        <v>39.303336999999999</v>
      </c>
      <c r="X148" s="33">
        <f t="shared" si="150"/>
        <v>12.171538133999999</v>
      </c>
      <c r="Y148" s="33">
        <f t="shared" si="150"/>
        <v>14.693001086399997</v>
      </c>
      <c r="Z148" s="33">
        <f t="shared" si="150"/>
        <v>17.073004003124996</v>
      </c>
      <c r="AA148" s="33">
        <f t="shared" si="150"/>
        <v>19.691342852343745</v>
      </c>
      <c r="AB148" s="30"/>
      <c r="AC148" s="30"/>
      <c r="AD148" s="30"/>
    </row>
    <row r="149" spans="2:30" outlineLevel="1" x14ac:dyDescent="0.2">
      <c r="B149" s="30"/>
      <c r="C149" s="31" t="s">
        <v>110</v>
      </c>
      <c r="D149" s="21" t="s">
        <v>35</v>
      </c>
      <c r="E149" s="5">
        <v>617</v>
      </c>
      <c r="F149" s="5">
        <v>-499</v>
      </c>
      <c r="G149" s="5">
        <v>365</v>
      </c>
      <c r="H149" s="5">
        <v>-557</v>
      </c>
      <c r="I149" s="5">
        <v>-683</v>
      </c>
      <c r="J149" s="5">
        <v>377</v>
      </c>
      <c r="K149" s="5">
        <v>777</v>
      </c>
      <c r="L149" s="33">
        <f>K121-L121+SUM(L127:L129)-SUM(K127:K129)</f>
        <v>765.3852250000009</v>
      </c>
      <c r="M149" s="33">
        <f t="shared" ref="M149:R149" si="158">L121-M121+SUM(M127:M129)-SUM(L127:L129)</f>
        <v>86.630016389999582</v>
      </c>
      <c r="N149" s="33">
        <f t="shared" si="158"/>
        <v>-48.437034630000198</v>
      </c>
      <c r="O149" s="33">
        <f t="shared" si="158"/>
        <v>-551.96114383199983</v>
      </c>
      <c r="P149" s="33">
        <f t="shared" si="158"/>
        <v>66.837622151999312</v>
      </c>
      <c r="Q149" s="33">
        <f t="shared" si="158"/>
        <v>598.33294640437452</v>
      </c>
      <c r="R149" s="33">
        <f t="shared" si="158"/>
        <v>634.46489637890681</v>
      </c>
      <c r="S149" s="30"/>
      <c r="T149" s="33">
        <f t="shared" si="150"/>
        <v>118</v>
      </c>
      <c r="U149" s="33">
        <f t="shared" si="150"/>
        <v>-192</v>
      </c>
      <c r="V149" s="33">
        <f t="shared" si="150"/>
        <v>-306</v>
      </c>
      <c r="W149" s="33">
        <f t="shared" si="150"/>
        <v>1542.3852250000009</v>
      </c>
      <c r="X149" s="33">
        <f t="shared" si="150"/>
        <v>38.192981759999384</v>
      </c>
      <c r="Y149" s="33">
        <f t="shared" si="150"/>
        <v>-485.12352168000052</v>
      </c>
      <c r="Z149" s="33">
        <f t="shared" si="150"/>
        <v>598.33294640437452</v>
      </c>
      <c r="AA149" s="33">
        <f t="shared" si="150"/>
        <v>634.46489637890681</v>
      </c>
      <c r="AB149" s="30"/>
      <c r="AC149" s="30"/>
      <c r="AD149" s="30"/>
    </row>
    <row r="150" spans="2:30" outlineLevel="1" x14ac:dyDescent="0.2">
      <c r="B150" s="30"/>
      <c r="C150" s="20" t="s">
        <v>111</v>
      </c>
      <c r="D150" s="2" t="s">
        <v>35</v>
      </c>
      <c r="E150" s="24">
        <f t="shared" ref="E150:G150" si="159">SUM(E143:E149)</f>
        <v>571</v>
      </c>
      <c r="F150" s="24">
        <f t="shared" si="159"/>
        <v>423</v>
      </c>
      <c r="G150" s="24">
        <f t="shared" si="159"/>
        <v>460</v>
      </c>
      <c r="H150" s="24">
        <f>SUM(H143:H149)</f>
        <v>-1048</v>
      </c>
      <c r="I150" s="24">
        <f>SUM(I143:I149)</f>
        <v>-1194</v>
      </c>
      <c r="J150" s="24">
        <f>SUM(J143:J149)</f>
        <v>159</v>
      </c>
      <c r="K150" s="24">
        <f>SUM(K143:K149)</f>
        <v>443</v>
      </c>
      <c r="L150" s="53">
        <f>SUM(L143:L149)</f>
        <v>1184.9522807500007</v>
      </c>
      <c r="M150" s="53">
        <f t="shared" ref="M150:R150" si="160">SUM(M143:M149)</f>
        <v>46.919564549430575</v>
      </c>
      <c r="N150" s="53">
        <f t="shared" si="160"/>
        <v>702.10335165127094</v>
      </c>
      <c r="O150" s="53">
        <f t="shared" si="160"/>
        <v>-550.35627007987739</v>
      </c>
      <c r="P150" s="53">
        <f t="shared" si="160"/>
        <v>1043.6349672792026</v>
      </c>
      <c r="Q150" s="53">
        <f t="shared" si="160"/>
        <v>1750.1842896748062</v>
      </c>
      <c r="R150" s="53">
        <f t="shared" si="160"/>
        <v>2012.1497568081188</v>
      </c>
      <c r="S150" s="30"/>
      <c r="T150" s="53">
        <f>SUM(T143:T149)</f>
        <v>994</v>
      </c>
      <c r="U150" s="53">
        <f t="shared" ref="U150:AA150" si="161">SUM(U143:U149)</f>
        <v>-588</v>
      </c>
      <c r="V150" s="53">
        <f t="shared" si="161"/>
        <v>-1035</v>
      </c>
      <c r="W150" s="53">
        <f t="shared" si="161"/>
        <v>1627.9522807500007</v>
      </c>
      <c r="X150" s="53">
        <f t="shared" si="161"/>
        <v>749.0229162007015</v>
      </c>
      <c r="Y150" s="53">
        <f t="shared" si="161"/>
        <v>493.27869719932517</v>
      </c>
      <c r="Z150" s="53">
        <f t="shared" si="161"/>
        <v>1750.1842896748062</v>
      </c>
      <c r="AA150" s="53">
        <f t="shared" si="161"/>
        <v>2012.1497568081188</v>
      </c>
      <c r="AB150" s="30"/>
      <c r="AC150" s="30"/>
      <c r="AD150" s="30"/>
    </row>
    <row r="151" spans="2:30" outlineLevel="1" x14ac:dyDescent="0.2">
      <c r="B151" s="30"/>
      <c r="C151" s="30"/>
      <c r="D151" s="30"/>
      <c r="E151" s="30"/>
      <c r="F151" s="34"/>
      <c r="G151" s="30"/>
      <c r="H151" s="30"/>
      <c r="I151" s="30"/>
      <c r="J151" s="34"/>
      <c r="K151" s="30"/>
      <c r="L151" s="33"/>
      <c r="M151" s="51"/>
      <c r="N151" s="33"/>
      <c r="O151" s="51"/>
      <c r="P151" s="33"/>
      <c r="Q151" s="33"/>
      <c r="R151" s="33"/>
      <c r="S151" s="30"/>
      <c r="T151" s="30"/>
      <c r="U151" s="30"/>
      <c r="V151" s="30"/>
      <c r="W151" s="30"/>
      <c r="X151" s="30"/>
      <c r="Y151" s="34"/>
      <c r="Z151" s="34"/>
      <c r="AA151" s="34"/>
      <c r="AB151" s="30"/>
      <c r="AC151" s="30"/>
      <c r="AD151" s="30"/>
    </row>
    <row r="152" spans="2:30" outlineLevel="1" x14ac:dyDescent="0.2">
      <c r="B152" s="10" t="s">
        <v>112</v>
      </c>
      <c r="C152" s="429"/>
      <c r="D152" s="429"/>
      <c r="E152" s="11"/>
      <c r="F152" s="11"/>
      <c r="G152" s="11"/>
      <c r="H152" s="11"/>
      <c r="I152" s="11"/>
      <c r="J152" s="11"/>
      <c r="K152" s="11"/>
      <c r="L152" s="52"/>
      <c r="M152" s="52"/>
      <c r="N152" s="52"/>
      <c r="O152" s="52"/>
      <c r="P152" s="52"/>
      <c r="Q152" s="52"/>
      <c r="R152" s="52"/>
      <c r="S152" s="30"/>
      <c r="T152" s="10" t="str">
        <f>$B152</f>
        <v>CASH FLOW FROM INVESTING:</v>
      </c>
      <c r="U152" s="429"/>
      <c r="V152" s="429"/>
      <c r="W152" s="11"/>
      <c r="X152" s="11"/>
      <c r="Y152" s="11"/>
      <c r="Z152" s="11"/>
      <c r="AA152" s="11"/>
      <c r="AB152" s="30"/>
      <c r="AC152" s="30"/>
      <c r="AD152" s="30"/>
    </row>
    <row r="153" spans="2:30" outlineLevel="1" x14ac:dyDescent="0.2">
      <c r="B153" s="30"/>
      <c r="C153" s="31" t="s">
        <v>113</v>
      </c>
      <c r="D153" s="2" t="s">
        <v>35</v>
      </c>
      <c r="E153" s="5">
        <v>-465</v>
      </c>
      <c r="F153" s="5">
        <v>-519</v>
      </c>
      <c r="G153" s="5">
        <v>-452</v>
      </c>
      <c r="H153" s="5">
        <v>-243</v>
      </c>
      <c r="I153" s="5">
        <f>-71-2</f>
        <v>-73</v>
      </c>
      <c r="J153" s="5">
        <f>-140-9-I153</f>
        <v>-76</v>
      </c>
      <c r="K153" s="5">
        <f>-236-11</f>
        <v>-247</v>
      </c>
      <c r="L153" s="33">
        <f t="shared" ref="L153:R153" si="162">-L72*L29/Units</f>
        <v>-326.35920000000004</v>
      </c>
      <c r="M153" s="33">
        <f t="shared" si="162"/>
        <v>-350.41314</v>
      </c>
      <c r="N153" s="33">
        <f t="shared" si="162"/>
        <v>-423.30707999999993</v>
      </c>
      <c r="O153" s="33">
        <f t="shared" si="162"/>
        <v>-460.81728000000004</v>
      </c>
      <c r="P153" s="33">
        <f t="shared" si="162"/>
        <v>-579.52754999999991</v>
      </c>
      <c r="Q153" s="33">
        <f t="shared" si="162"/>
        <v>-1395.9303749999995</v>
      </c>
      <c r="R153" s="33">
        <f t="shared" si="162"/>
        <v>-1622.7690609374995</v>
      </c>
      <c r="S153" s="30"/>
      <c r="T153" s="33">
        <f t="shared" ref="T153:AA155" si="163">SUMIF($E$23:$R$23,T$23,$E153:$R153)</f>
        <v>-984</v>
      </c>
      <c r="U153" s="33">
        <f t="shared" si="163"/>
        <v>-695</v>
      </c>
      <c r="V153" s="33">
        <f t="shared" si="163"/>
        <v>-149</v>
      </c>
      <c r="W153" s="33">
        <f t="shared" si="163"/>
        <v>-573.3592000000001</v>
      </c>
      <c r="X153" s="33">
        <f t="shared" si="163"/>
        <v>-773.72021999999993</v>
      </c>
      <c r="Y153" s="33">
        <f t="shared" si="163"/>
        <v>-1040.34483</v>
      </c>
      <c r="Z153" s="33">
        <f t="shared" si="163"/>
        <v>-1395.9303749999995</v>
      </c>
      <c r="AA153" s="33">
        <f t="shared" si="163"/>
        <v>-1622.7690609374995</v>
      </c>
      <c r="AB153" s="30"/>
      <c r="AC153" s="30"/>
      <c r="AD153" s="30"/>
    </row>
    <row r="154" spans="2:30" outlineLevel="1" x14ac:dyDescent="0.2">
      <c r="B154" s="30"/>
      <c r="C154" s="31" t="s">
        <v>114</v>
      </c>
      <c r="D154" s="2" t="s">
        <v>35</v>
      </c>
      <c r="E154" s="5">
        <v>121</v>
      </c>
      <c r="F154" s="5">
        <v>0</v>
      </c>
      <c r="G154" s="5">
        <v>114</v>
      </c>
      <c r="H154" s="5">
        <v>588</v>
      </c>
      <c r="I154" s="5">
        <v>810</v>
      </c>
      <c r="J154" s="5">
        <f>836-I154</f>
        <v>26</v>
      </c>
      <c r="K154" s="5">
        <v>87</v>
      </c>
      <c r="L154" s="48">
        <v>0</v>
      </c>
      <c r="M154" s="49">
        <f>L154</f>
        <v>0</v>
      </c>
      <c r="N154" s="49">
        <f t="shared" ref="N154" si="164">M154</f>
        <v>0</v>
      </c>
      <c r="O154" s="49">
        <f t="shared" ref="O154" si="165">N154</f>
        <v>0</v>
      </c>
      <c r="P154" s="49">
        <f t="shared" ref="P154" si="166">O154</f>
        <v>0</v>
      </c>
      <c r="Q154" s="49">
        <f t="shared" ref="Q154" si="167">P154</f>
        <v>0</v>
      </c>
      <c r="R154" s="49">
        <f t="shared" ref="R154" si="168">Q154</f>
        <v>0</v>
      </c>
      <c r="S154" s="30"/>
      <c r="T154" s="59">
        <f t="shared" si="163"/>
        <v>121</v>
      </c>
      <c r="U154" s="59">
        <f t="shared" si="163"/>
        <v>702</v>
      </c>
      <c r="V154" s="59">
        <f t="shared" si="163"/>
        <v>836</v>
      </c>
      <c r="W154" s="59">
        <f t="shared" si="163"/>
        <v>87</v>
      </c>
      <c r="X154" s="59">
        <f t="shared" si="163"/>
        <v>0</v>
      </c>
      <c r="Y154" s="59">
        <f t="shared" si="163"/>
        <v>0</v>
      </c>
      <c r="Z154" s="59">
        <f t="shared" si="163"/>
        <v>0</v>
      </c>
      <c r="AA154" s="59">
        <f t="shared" si="163"/>
        <v>0</v>
      </c>
      <c r="AB154" s="30"/>
      <c r="AC154" s="30"/>
      <c r="AD154" s="30"/>
    </row>
    <row r="155" spans="2:30" outlineLevel="1" x14ac:dyDescent="0.2">
      <c r="B155" s="30"/>
      <c r="C155" s="31" t="s">
        <v>115</v>
      </c>
      <c r="D155" s="21" t="s">
        <v>35</v>
      </c>
      <c r="E155" s="5">
        <v>-70</v>
      </c>
      <c r="F155" s="5">
        <v>-57</v>
      </c>
      <c r="G155" s="5">
        <v>-39</v>
      </c>
      <c r="H155" s="5">
        <v>-28</v>
      </c>
      <c r="I155" s="5">
        <v>-9</v>
      </c>
      <c r="J155" s="5">
        <f>-148-8-I155</f>
        <v>-147</v>
      </c>
      <c r="K155" s="5">
        <v>-56</v>
      </c>
      <c r="L155" s="33">
        <f t="shared" ref="L155:R155" si="169">-L73*L29/Units</f>
        <v>-95.988000000000014</v>
      </c>
      <c r="M155" s="33">
        <f t="shared" si="169"/>
        <v>-120.00449999999999</v>
      </c>
      <c r="N155" s="33">
        <f t="shared" si="169"/>
        <v>-154.54067999999998</v>
      </c>
      <c r="O155" s="33">
        <f t="shared" si="169"/>
        <v>-155.52583199999998</v>
      </c>
      <c r="P155" s="33">
        <f t="shared" si="169"/>
        <v>-193.17584999999997</v>
      </c>
      <c r="Q155" s="33">
        <f t="shared" si="169"/>
        <v>-434.28944999999987</v>
      </c>
      <c r="R155" s="33">
        <f t="shared" si="169"/>
        <v>-523.47389062499985</v>
      </c>
      <c r="S155" s="30"/>
      <c r="T155" s="33">
        <f t="shared" si="163"/>
        <v>-127</v>
      </c>
      <c r="U155" s="33">
        <f t="shared" si="163"/>
        <v>-67</v>
      </c>
      <c r="V155" s="33">
        <f t="shared" si="163"/>
        <v>-156</v>
      </c>
      <c r="W155" s="33">
        <f t="shared" si="163"/>
        <v>-151.988</v>
      </c>
      <c r="X155" s="33">
        <f t="shared" si="163"/>
        <v>-274.54517999999996</v>
      </c>
      <c r="Y155" s="33">
        <f t="shared" si="163"/>
        <v>-348.70168199999995</v>
      </c>
      <c r="Z155" s="33">
        <f t="shared" si="163"/>
        <v>-434.28944999999987</v>
      </c>
      <c r="AA155" s="33">
        <f t="shared" si="163"/>
        <v>-523.47389062499985</v>
      </c>
      <c r="AB155" s="30"/>
      <c r="AC155" s="30"/>
      <c r="AD155" s="30"/>
    </row>
    <row r="156" spans="2:30" outlineLevel="1" x14ac:dyDescent="0.2">
      <c r="B156" s="30"/>
      <c r="C156" s="20" t="s">
        <v>116</v>
      </c>
      <c r="D156" s="2" t="s">
        <v>35</v>
      </c>
      <c r="E156" s="24">
        <f>SUM(E153:E155)</f>
        <v>-414</v>
      </c>
      <c r="F156" s="24">
        <f>SUM(F153:F155)</f>
        <v>-576</v>
      </c>
      <c r="G156" s="24">
        <f>SUM(G153:G155)</f>
        <v>-377</v>
      </c>
      <c r="H156" s="24">
        <f>SUM(H153:H155)</f>
        <v>317</v>
      </c>
      <c r="I156" s="24">
        <f>SUM(I153:I155)</f>
        <v>728</v>
      </c>
      <c r="J156" s="24">
        <f t="shared" ref="J156:K156" si="170">SUM(J153:J155)</f>
        <v>-197</v>
      </c>
      <c r="K156" s="24">
        <f t="shared" si="170"/>
        <v>-216</v>
      </c>
      <c r="L156" s="53">
        <f>SUM(L153:L155)</f>
        <v>-422.34720000000004</v>
      </c>
      <c r="M156" s="53">
        <f t="shared" ref="M156:R156" si="171">SUM(M153:M155)</f>
        <v>-470.41764000000001</v>
      </c>
      <c r="N156" s="53">
        <f t="shared" si="171"/>
        <v>-577.84775999999988</v>
      </c>
      <c r="O156" s="53">
        <f t="shared" si="171"/>
        <v>-616.34311200000002</v>
      </c>
      <c r="P156" s="53">
        <f t="shared" si="171"/>
        <v>-772.70339999999987</v>
      </c>
      <c r="Q156" s="53">
        <f t="shared" si="171"/>
        <v>-1830.2198249999992</v>
      </c>
      <c r="R156" s="53">
        <f t="shared" si="171"/>
        <v>-2146.2429515624995</v>
      </c>
      <c r="S156" s="30"/>
      <c r="T156" s="53">
        <f>SUM(T153:T155)</f>
        <v>-990</v>
      </c>
      <c r="U156" s="53">
        <f t="shared" ref="U156:AA156" si="172">SUM(U153:U155)</f>
        <v>-60</v>
      </c>
      <c r="V156" s="53">
        <f t="shared" si="172"/>
        <v>531</v>
      </c>
      <c r="W156" s="53">
        <f t="shared" si="172"/>
        <v>-638.34720000000016</v>
      </c>
      <c r="X156" s="53">
        <f t="shared" si="172"/>
        <v>-1048.2653999999998</v>
      </c>
      <c r="Y156" s="53">
        <f t="shared" si="172"/>
        <v>-1389.0465119999999</v>
      </c>
      <c r="Z156" s="53">
        <f t="shared" si="172"/>
        <v>-1830.2198249999992</v>
      </c>
      <c r="AA156" s="53">
        <f t="shared" si="172"/>
        <v>-2146.2429515624995</v>
      </c>
      <c r="AB156" s="30"/>
      <c r="AC156" s="30"/>
      <c r="AD156" s="30"/>
    </row>
    <row r="157" spans="2:30" outlineLevel="1" x14ac:dyDescent="0.2"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51"/>
      <c r="M157" s="51"/>
      <c r="N157" s="51"/>
      <c r="O157" s="51"/>
      <c r="P157" s="51"/>
      <c r="Q157" s="51"/>
      <c r="R157" s="51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spans="2:30" outlineLevel="1" x14ac:dyDescent="0.2">
      <c r="B158" s="10" t="s">
        <v>117</v>
      </c>
      <c r="C158" s="429"/>
      <c r="D158" s="429"/>
      <c r="E158" s="11"/>
      <c r="F158" s="11"/>
      <c r="G158" s="11"/>
      <c r="H158" s="11"/>
      <c r="I158" s="11"/>
      <c r="J158" s="11"/>
      <c r="K158" s="11"/>
      <c r="L158" s="52"/>
      <c r="M158" s="52"/>
      <c r="N158" s="52"/>
      <c r="O158" s="52"/>
      <c r="P158" s="52"/>
      <c r="Q158" s="52"/>
      <c r="R158" s="52"/>
      <c r="S158" s="30"/>
      <c r="T158" s="10" t="str">
        <f>$B158</f>
        <v>CASH FLOW FROM FINANCING:</v>
      </c>
      <c r="U158" s="429"/>
      <c r="V158" s="429"/>
      <c r="W158" s="11"/>
      <c r="X158" s="11"/>
      <c r="Y158" s="11"/>
      <c r="Z158" s="11"/>
      <c r="AA158" s="11"/>
      <c r="AB158" s="30"/>
      <c r="AC158" s="30"/>
      <c r="AD158" s="30"/>
    </row>
    <row r="159" spans="2:30" outlineLevel="1" x14ac:dyDescent="0.2">
      <c r="B159" s="30"/>
      <c r="C159" s="31" t="s">
        <v>118</v>
      </c>
      <c r="D159" s="2" t="s">
        <v>35</v>
      </c>
      <c r="E159" s="5">
        <v>-2</v>
      </c>
      <c r="F159" s="5">
        <v>-14</v>
      </c>
      <c r="G159" s="5">
        <v>-6</v>
      </c>
      <c r="H159" s="5">
        <v>408</v>
      </c>
      <c r="I159" s="5">
        <v>-3</v>
      </c>
      <c r="J159" s="5">
        <f>1144-6-I159</f>
        <v>1141</v>
      </c>
      <c r="K159" s="5">
        <f>91-37-4</f>
        <v>50</v>
      </c>
      <c r="L159" s="33">
        <f>L222</f>
        <v>0</v>
      </c>
      <c r="M159" s="33">
        <f t="shared" ref="M159:R159" si="173">M222</f>
        <v>0</v>
      </c>
      <c r="N159" s="33">
        <f t="shared" si="173"/>
        <v>0</v>
      </c>
      <c r="O159" s="33">
        <f t="shared" si="173"/>
        <v>0</v>
      </c>
      <c r="P159" s="33">
        <f t="shared" si="173"/>
        <v>0</v>
      </c>
      <c r="Q159" s="33">
        <f t="shared" si="173"/>
        <v>0</v>
      </c>
      <c r="R159" s="33">
        <f t="shared" si="173"/>
        <v>0</v>
      </c>
      <c r="S159" s="30"/>
      <c r="T159" s="33">
        <f t="shared" ref="T159:AA164" si="174">SUMIF($E$23:$R$23,T$23,$E159:$R159)</f>
        <v>-16</v>
      </c>
      <c r="U159" s="33">
        <f t="shared" si="174"/>
        <v>402</v>
      </c>
      <c r="V159" s="33">
        <f t="shared" si="174"/>
        <v>1138</v>
      </c>
      <c r="W159" s="33">
        <f t="shared" si="174"/>
        <v>50</v>
      </c>
      <c r="X159" s="33">
        <f t="shared" si="174"/>
        <v>0</v>
      </c>
      <c r="Y159" s="33">
        <f t="shared" si="174"/>
        <v>0</v>
      </c>
      <c r="Z159" s="33">
        <f t="shared" si="174"/>
        <v>0</v>
      </c>
      <c r="AA159" s="33">
        <f t="shared" si="174"/>
        <v>0</v>
      </c>
      <c r="AB159" s="30"/>
      <c r="AC159" s="30"/>
      <c r="AD159" s="30"/>
    </row>
    <row r="160" spans="2:30" outlineLevel="1" x14ac:dyDescent="0.2">
      <c r="B160" s="30"/>
      <c r="C160" s="31" t="s">
        <v>119</v>
      </c>
      <c r="D160" s="2" t="s">
        <v>35</v>
      </c>
      <c r="E160" s="5">
        <v>0</v>
      </c>
      <c r="F160" s="5">
        <v>443</v>
      </c>
      <c r="G160" s="5">
        <v>0</v>
      </c>
      <c r="H160" s="5">
        <v>1399</v>
      </c>
      <c r="I160" s="5">
        <f>1804-1043</f>
        <v>761</v>
      </c>
      <c r="J160" s="5">
        <f>1804-1045-I160</f>
        <v>-2</v>
      </c>
      <c r="K160" s="5">
        <v>-300</v>
      </c>
      <c r="L160" s="33">
        <f>L221</f>
        <v>-785</v>
      </c>
      <c r="M160" s="33">
        <f t="shared" ref="M160:R160" si="175">M221</f>
        <v>-380</v>
      </c>
      <c r="N160" s="33">
        <f t="shared" si="175"/>
        <v>0</v>
      </c>
      <c r="O160" s="33">
        <f t="shared" si="175"/>
        <v>346.28824395508241</v>
      </c>
      <c r="P160" s="33">
        <f t="shared" si="175"/>
        <v>-518.37325313409349</v>
      </c>
      <c r="Q160" s="33">
        <f t="shared" si="175"/>
        <v>306.09937109900642</v>
      </c>
      <c r="R160" s="33">
        <f t="shared" si="175"/>
        <v>377.27863845140018</v>
      </c>
      <c r="S160" s="30"/>
      <c r="T160" s="33">
        <f t="shared" si="174"/>
        <v>443</v>
      </c>
      <c r="U160" s="33">
        <f t="shared" si="174"/>
        <v>1399</v>
      </c>
      <c r="V160" s="33">
        <f t="shared" si="174"/>
        <v>759</v>
      </c>
      <c r="W160" s="33">
        <f t="shared" si="174"/>
        <v>-1085</v>
      </c>
      <c r="X160" s="33">
        <f t="shared" si="174"/>
        <v>-380</v>
      </c>
      <c r="Y160" s="33">
        <f t="shared" si="174"/>
        <v>-172.08500917901108</v>
      </c>
      <c r="Z160" s="33">
        <f t="shared" si="174"/>
        <v>306.09937109900642</v>
      </c>
      <c r="AA160" s="33">
        <f t="shared" si="174"/>
        <v>377.27863845140018</v>
      </c>
      <c r="AB160" s="30"/>
      <c r="AC160" s="30"/>
      <c r="AD160" s="30"/>
    </row>
    <row r="161" spans="2:29" outlineLevel="1" x14ac:dyDescent="0.2">
      <c r="B161" s="30"/>
      <c r="C161" s="31" t="s">
        <v>120</v>
      </c>
      <c r="D161" s="2" t="s">
        <v>35</v>
      </c>
      <c r="E161" s="5">
        <v>-233</v>
      </c>
      <c r="F161" s="5">
        <v>0</v>
      </c>
      <c r="G161" s="5">
        <v>-174</v>
      </c>
      <c r="H161" s="5">
        <v>0</v>
      </c>
      <c r="I161" s="5">
        <v>0</v>
      </c>
      <c r="J161" s="5">
        <v>0</v>
      </c>
      <c r="K161" s="5">
        <v>0</v>
      </c>
      <c r="L161" s="33">
        <f>-MAX(SUM(K143:L143),0)*L75</f>
        <v>0</v>
      </c>
      <c r="M161" s="33">
        <f>-MAX(SUM(L143:M143),0)*M75</f>
        <v>0</v>
      </c>
      <c r="N161" s="33">
        <f>-MAX(SUM(M143:N143),0)*N75</f>
        <v>0</v>
      </c>
      <c r="O161" s="33">
        <f>-MAX(SUM(N143:O143),0)*O75</f>
        <v>-62.456906168802249</v>
      </c>
      <c r="P161" s="33">
        <f>-MAX(SUM(O143:P143),0)*P75</f>
        <v>0</v>
      </c>
      <c r="Q161" s="33">
        <f>-MAX(Q143,0)*Q75</f>
        <v>-177.11605540815719</v>
      </c>
      <c r="R161" s="33">
        <f>-MAX(R143,0)*R75</f>
        <v>-231.65631262484499</v>
      </c>
      <c r="S161" s="30"/>
      <c r="T161" s="33">
        <f t="shared" si="174"/>
        <v>-233</v>
      </c>
      <c r="U161" s="33">
        <f t="shared" si="174"/>
        <v>-174</v>
      </c>
      <c r="V161" s="33">
        <f t="shared" si="174"/>
        <v>0</v>
      </c>
      <c r="W161" s="33">
        <f t="shared" si="174"/>
        <v>0</v>
      </c>
      <c r="X161" s="33">
        <f t="shared" si="174"/>
        <v>0</v>
      </c>
      <c r="Y161" s="33">
        <f t="shared" si="174"/>
        <v>-62.456906168802249</v>
      </c>
      <c r="Z161" s="33">
        <f t="shared" si="174"/>
        <v>-177.11605540815719</v>
      </c>
      <c r="AA161" s="33">
        <f t="shared" si="174"/>
        <v>-231.65631262484499</v>
      </c>
      <c r="AB161" s="30"/>
      <c r="AC161" s="30"/>
    </row>
    <row r="162" spans="2:29" outlineLevel="1" x14ac:dyDescent="0.2">
      <c r="B162" s="30"/>
      <c r="C162" s="31" t="s">
        <v>109</v>
      </c>
      <c r="D162" s="2" t="s">
        <v>35</v>
      </c>
      <c r="E162" s="5">
        <v>4</v>
      </c>
      <c r="F162" s="5">
        <v>3</v>
      </c>
      <c r="G162" s="5">
        <v>0</v>
      </c>
      <c r="H162" s="5">
        <v>-15</v>
      </c>
      <c r="I162" s="5">
        <v>6</v>
      </c>
      <c r="J162" s="5">
        <f>5-I162</f>
        <v>-1</v>
      </c>
      <c r="K162" s="5">
        <v>9</v>
      </c>
      <c r="L162" s="33">
        <f t="shared" ref="L162:R162" si="176">L76*L94</f>
        <v>3.3005573309863805</v>
      </c>
      <c r="M162" s="33">
        <f t="shared" si="176"/>
        <v>2.8329657849029961</v>
      </c>
      <c r="N162" s="33">
        <f t="shared" si="176"/>
        <v>4.7420496096597082</v>
      </c>
      <c r="O162" s="33">
        <f t="shared" si="176"/>
        <v>3.3927476353460242</v>
      </c>
      <c r="P162" s="33">
        <f t="shared" si="176"/>
        <v>5.7515123748906181</v>
      </c>
      <c r="Q162" s="33">
        <f t="shared" si="176"/>
        <v>10.625466291218912</v>
      </c>
      <c r="R162" s="33">
        <f t="shared" si="176"/>
        <v>12.255002087981474</v>
      </c>
      <c r="S162" s="30"/>
      <c r="T162" s="33">
        <f t="shared" si="174"/>
        <v>7</v>
      </c>
      <c r="U162" s="33">
        <f t="shared" si="174"/>
        <v>-15</v>
      </c>
      <c r="V162" s="33">
        <f t="shared" si="174"/>
        <v>5</v>
      </c>
      <c r="W162" s="33">
        <f t="shared" si="174"/>
        <v>12.300557330986381</v>
      </c>
      <c r="X162" s="33">
        <f t="shared" si="174"/>
        <v>7.5750153945627048</v>
      </c>
      <c r="Y162" s="33">
        <f t="shared" si="174"/>
        <v>9.1442600102366427</v>
      </c>
      <c r="Z162" s="33">
        <f t="shared" si="174"/>
        <v>10.625466291218912</v>
      </c>
      <c r="AA162" s="33">
        <f t="shared" si="174"/>
        <v>12.255002087981474</v>
      </c>
      <c r="AB162" s="30"/>
      <c r="AC162" s="30"/>
    </row>
    <row r="163" spans="2:29" outlineLevel="1" x14ac:dyDescent="0.2">
      <c r="B163" s="30"/>
      <c r="C163" s="31" t="s">
        <v>121</v>
      </c>
      <c r="D163" s="2" t="s">
        <v>35</v>
      </c>
      <c r="E163" s="33">
        <f>-E155</f>
        <v>70</v>
      </c>
      <c r="F163" s="33">
        <f>-F155</f>
        <v>57</v>
      </c>
      <c r="G163" s="33">
        <f>-G155</f>
        <v>39</v>
      </c>
      <c r="H163" s="33">
        <f>-H155</f>
        <v>28</v>
      </c>
      <c r="I163" s="33">
        <f>-I155</f>
        <v>9</v>
      </c>
      <c r="J163" s="33">
        <f t="shared" ref="J163:L163" si="177">-J155</f>
        <v>147</v>
      </c>
      <c r="K163" s="33">
        <f t="shared" si="177"/>
        <v>56</v>
      </c>
      <c r="L163" s="33">
        <f t="shared" si="177"/>
        <v>95.988000000000014</v>
      </c>
      <c r="M163" s="33">
        <f t="shared" ref="M163:R163" si="178">-M155</f>
        <v>120.00449999999999</v>
      </c>
      <c r="N163" s="33">
        <f t="shared" si="178"/>
        <v>154.54067999999998</v>
      </c>
      <c r="O163" s="33">
        <f t="shared" si="178"/>
        <v>155.52583199999998</v>
      </c>
      <c r="P163" s="33">
        <f t="shared" si="178"/>
        <v>193.17584999999997</v>
      </c>
      <c r="Q163" s="33">
        <f t="shared" si="178"/>
        <v>434.28944999999987</v>
      </c>
      <c r="R163" s="33">
        <f t="shared" si="178"/>
        <v>523.47389062499985</v>
      </c>
      <c r="S163" s="30"/>
      <c r="T163" s="33">
        <f t="shared" si="174"/>
        <v>127</v>
      </c>
      <c r="U163" s="33">
        <f t="shared" si="174"/>
        <v>67</v>
      </c>
      <c r="V163" s="33">
        <f t="shared" si="174"/>
        <v>156</v>
      </c>
      <c r="W163" s="33">
        <f t="shared" si="174"/>
        <v>151.988</v>
      </c>
      <c r="X163" s="33">
        <f t="shared" si="174"/>
        <v>274.54517999999996</v>
      </c>
      <c r="Y163" s="33">
        <f t="shared" si="174"/>
        <v>348.70168199999995</v>
      </c>
      <c r="Z163" s="33">
        <f t="shared" si="174"/>
        <v>434.28944999999987</v>
      </c>
      <c r="AA163" s="33">
        <f t="shared" si="174"/>
        <v>523.47389062499985</v>
      </c>
      <c r="AB163" s="30"/>
      <c r="AC163" s="30"/>
    </row>
    <row r="164" spans="2:29" outlineLevel="1" x14ac:dyDescent="0.2">
      <c r="B164" s="30"/>
      <c r="C164" s="31" t="s">
        <v>122</v>
      </c>
      <c r="D164" s="21" t="s">
        <v>35</v>
      </c>
      <c r="E164" s="5">
        <v>-85</v>
      </c>
      <c r="F164" s="5">
        <v>-89</v>
      </c>
      <c r="G164" s="5">
        <v>-111</v>
      </c>
      <c r="H164" s="5">
        <v>-119</v>
      </c>
      <c r="I164" s="5">
        <v>-174</v>
      </c>
      <c r="J164" s="5">
        <f>-261-I164</f>
        <v>-87</v>
      </c>
      <c r="K164" s="5">
        <v>-92</v>
      </c>
      <c r="L164" s="33">
        <f t="shared" ref="L164:R164" si="179">-L77*L29/Units</f>
        <v>-95.988000000000014</v>
      </c>
      <c r="M164" s="33">
        <f t="shared" si="179"/>
        <v>-96.003599999999992</v>
      </c>
      <c r="N164" s="33">
        <f t="shared" si="179"/>
        <v>-134.38319999999999</v>
      </c>
      <c r="O164" s="33">
        <f t="shared" si="179"/>
        <v>-115.20432000000001</v>
      </c>
      <c r="P164" s="33">
        <f t="shared" si="179"/>
        <v>-162.26771399999996</v>
      </c>
      <c r="Q164" s="33">
        <f t="shared" si="179"/>
        <v>-341.22742499999987</v>
      </c>
      <c r="R164" s="33">
        <f t="shared" si="179"/>
        <v>-383.88085312499987</v>
      </c>
      <c r="S164" s="30"/>
      <c r="T164" s="33">
        <f t="shared" si="174"/>
        <v>-174</v>
      </c>
      <c r="U164" s="33">
        <f t="shared" si="174"/>
        <v>-230</v>
      </c>
      <c r="V164" s="33">
        <f t="shared" si="174"/>
        <v>-261</v>
      </c>
      <c r="W164" s="33">
        <f t="shared" si="174"/>
        <v>-187.988</v>
      </c>
      <c r="X164" s="33">
        <f t="shared" si="174"/>
        <v>-230.38679999999999</v>
      </c>
      <c r="Y164" s="33">
        <f t="shared" si="174"/>
        <v>-277.47203399999995</v>
      </c>
      <c r="Z164" s="33">
        <f t="shared" si="174"/>
        <v>-341.22742499999987</v>
      </c>
      <c r="AA164" s="33">
        <f t="shared" si="174"/>
        <v>-383.88085312499987</v>
      </c>
      <c r="AB164" s="30"/>
      <c r="AC164" s="30"/>
    </row>
    <row r="165" spans="2:29" outlineLevel="1" x14ac:dyDescent="0.2">
      <c r="B165" s="30"/>
      <c r="C165" s="20" t="s">
        <v>123</v>
      </c>
      <c r="D165" s="2" t="s">
        <v>35</v>
      </c>
      <c r="E165" s="24">
        <f t="shared" ref="E165:L165" si="180">SUM(E159:E164)</f>
        <v>-246</v>
      </c>
      <c r="F165" s="24">
        <f t="shared" si="180"/>
        <v>400</v>
      </c>
      <c r="G165" s="24">
        <f t="shared" si="180"/>
        <v>-252</v>
      </c>
      <c r="H165" s="24">
        <f t="shared" si="180"/>
        <v>1701</v>
      </c>
      <c r="I165" s="24">
        <f t="shared" si="180"/>
        <v>599</v>
      </c>
      <c r="J165" s="24">
        <f t="shared" si="180"/>
        <v>1198</v>
      </c>
      <c r="K165" s="24">
        <f t="shared" si="180"/>
        <v>-277</v>
      </c>
      <c r="L165" s="53">
        <f t="shared" si="180"/>
        <v>-781.69944266901359</v>
      </c>
      <c r="M165" s="53">
        <f t="shared" ref="M165:R165" si="181">SUM(M159:M164)</f>
        <v>-353.16613421509697</v>
      </c>
      <c r="N165" s="53">
        <f t="shared" si="181"/>
        <v>24.899529609659709</v>
      </c>
      <c r="O165" s="53">
        <f t="shared" si="181"/>
        <v>327.54559742162621</v>
      </c>
      <c r="P165" s="53">
        <f t="shared" si="181"/>
        <v>-481.71360475920289</v>
      </c>
      <c r="Q165" s="53">
        <f t="shared" si="181"/>
        <v>232.67080698206809</v>
      </c>
      <c r="R165" s="53">
        <f t="shared" si="181"/>
        <v>297.47036541453662</v>
      </c>
      <c r="S165" s="30"/>
      <c r="T165" s="53">
        <f>SUM(T159:T164)</f>
        <v>154</v>
      </c>
      <c r="U165" s="53">
        <f t="shared" ref="U165:AA165" si="182">SUM(U159:U164)</f>
        <v>1449</v>
      </c>
      <c r="V165" s="53">
        <f t="shared" si="182"/>
        <v>1797</v>
      </c>
      <c r="W165" s="53">
        <f t="shared" si="182"/>
        <v>-1058.6994426690137</v>
      </c>
      <c r="X165" s="53">
        <f t="shared" si="182"/>
        <v>-328.26660460543735</v>
      </c>
      <c r="Y165" s="53">
        <f t="shared" si="182"/>
        <v>-154.16800733757668</v>
      </c>
      <c r="Z165" s="53">
        <f t="shared" si="182"/>
        <v>232.67080698206809</v>
      </c>
      <c r="AA165" s="53">
        <f t="shared" si="182"/>
        <v>297.47036541453662</v>
      </c>
      <c r="AB165" s="30"/>
      <c r="AC165" s="30"/>
    </row>
    <row r="166" spans="2:29" outlineLevel="1" x14ac:dyDescent="0.2">
      <c r="B166" s="30"/>
      <c r="C166" s="30"/>
      <c r="D166"/>
      <c r="E166" s="30"/>
      <c r="F166" s="30"/>
      <c r="G166" s="30"/>
      <c r="H166" s="30"/>
      <c r="I166" s="30"/>
      <c r="J166" s="30"/>
      <c r="K166" s="30"/>
      <c r="L166" s="51"/>
      <c r="M166" s="51"/>
      <c r="N166" s="51"/>
      <c r="O166" s="51"/>
      <c r="P166" s="51"/>
      <c r="Q166" s="51"/>
      <c r="R166" s="51"/>
      <c r="S166" s="30"/>
      <c r="T166" s="51"/>
      <c r="U166" s="51"/>
      <c r="V166" s="51"/>
      <c r="W166" s="51"/>
      <c r="X166" s="51"/>
      <c r="Y166" s="51"/>
      <c r="Z166" s="51"/>
      <c r="AA166" s="51"/>
      <c r="AB166" s="30"/>
      <c r="AC166" s="30"/>
    </row>
    <row r="167" spans="2:29" outlineLevel="1" x14ac:dyDescent="0.2">
      <c r="B167" s="30"/>
      <c r="C167" s="30" t="s">
        <v>124</v>
      </c>
      <c r="D167" s="2" t="s">
        <v>35</v>
      </c>
      <c r="E167" s="5">
        <v>1</v>
      </c>
      <c r="F167" s="5">
        <v>49</v>
      </c>
      <c r="G167" s="5">
        <v>-19</v>
      </c>
      <c r="H167" s="5">
        <v>-42</v>
      </c>
      <c r="I167" s="5">
        <v>-114</v>
      </c>
      <c r="J167" s="5">
        <v>41</v>
      </c>
      <c r="K167" s="5">
        <v>19</v>
      </c>
      <c r="L167" s="33">
        <f t="shared" ref="L167:R167" si="183">L94*L78</f>
        <v>26.516684999999999</v>
      </c>
      <c r="M167" s="33">
        <f t="shared" si="183"/>
        <v>22.760053469999999</v>
      </c>
      <c r="N167" s="33">
        <f t="shared" si="183"/>
        <v>38.097637199999994</v>
      </c>
      <c r="O167" s="33">
        <f t="shared" si="183"/>
        <v>27.257342111999996</v>
      </c>
      <c r="P167" s="33">
        <f t="shared" si="183"/>
        <v>46.207663319999988</v>
      </c>
      <c r="Q167" s="33">
        <f t="shared" si="183"/>
        <v>85.365020015624978</v>
      </c>
      <c r="R167" s="33">
        <f t="shared" si="183"/>
        <v>98.456714261718716</v>
      </c>
      <c r="S167" s="30"/>
      <c r="T167" s="33">
        <f t="shared" ref="T167:AA167" si="184">SUMIF($E$23:$R$23,T$23,$E167:$R167)</f>
        <v>50</v>
      </c>
      <c r="U167" s="33">
        <f t="shared" si="184"/>
        <v>-61</v>
      </c>
      <c r="V167" s="33">
        <f t="shared" si="184"/>
        <v>-73</v>
      </c>
      <c r="W167" s="33">
        <f t="shared" si="184"/>
        <v>45.516684999999995</v>
      </c>
      <c r="X167" s="33">
        <f t="shared" si="184"/>
        <v>60.857690669999997</v>
      </c>
      <c r="Y167" s="33">
        <f t="shared" si="184"/>
        <v>73.465005431999984</v>
      </c>
      <c r="Z167" s="33">
        <f t="shared" si="184"/>
        <v>85.365020015624978</v>
      </c>
      <c r="AA167" s="33">
        <f t="shared" si="184"/>
        <v>98.456714261718716</v>
      </c>
      <c r="AB167" s="30"/>
      <c r="AC167" s="30"/>
    </row>
    <row r="168" spans="2:29" outlineLevel="1" x14ac:dyDescent="0.2">
      <c r="B168" s="30"/>
      <c r="C168" s="30"/>
      <c r="D168"/>
      <c r="E168" s="30"/>
      <c r="F168" s="30"/>
      <c r="G168" s="30"/>
      <c r="H168" s="30"/>
      <c r="I168" s="30"/>
      <c r="J168" s="30"/>
      <c r="K168" s="30"/>
      <c r="L168" s="51"/>
      <c r="M168" s="51"/>
      <c r="N168" s="51"/>
      <c r="O168" s="51"/>
      <c r="P168" s="51"/>
      <c r="Q168" s="51"/>
      <c r="R168" s="51"/>
      <c r="S168" s="30"/>
      <c r="T168" s="51"/>
      <c r="U168" s="51"/>
      <c r="V168" s="51"/>
      <c r="W168" s="51"/>
      <c r="X168" s="51"/>
      <c r="Y168" s="51"/>
      <c r="Z168" s="51"/>
      <c r="AA168" s="51"/>
      <c r="AB168" s="30"/>
      <c r="AC168" s="30"/>
    </row>
    <row r="169" spans="2:29" outlineLevel="1" x14ac:dyDescent="0.2">
      <c r="B169" s="30"/>
      <c r="C169" s="30" t="s">
        <v>125</v>
      </c>
      <c r="D169" s="2" t="s">
        <v>35</v>
      </c>
      <c r="E169" s="5">
        <v>1368</v>
      </c>
      <c r="F169" s="34">
        <f t="shared" ref="F169:H169" si="185">E119</f>
        <v>1280</v>
      </c>
      <c r="G169" s="34">
        <f t="shared" si="185"/>
        <v>1576</v>
      </c>
      <c r="H169" s="34">
        <f t="shared" si="185"/>
        <v>1388</v>
      </c>
      <c r="I169" s="34">
        <f>H119</f>
        <v>2316</v>
      </c>
      <c r="J169" s="34">
        <f t="shared" ref="J169:K169" si="186">I119</f>
        <v>2335</v>
      </c>
      <c r="K169" s="34">
        <f t="shared" si="186"/>
        <v>3536</v>
      </c>
      <c r="L169" s="34">
        <f>K119</f>
        <v>3505</v>
      </c>
      <c r="M169" s="34">
        <f t="shared" ref="M169:R169" si="187">L119</f>
        <v>3512.4223230809871</v>
      </c>
      <c r="N169" s="34">
        <f t="shared" si="187"/>
        <v>2758.5181668853206</v>
      </c>
      <c r="O169" s="34">
        <f t="shared" si="187"/>
        <v>2945.7709253462513</v>
      </c>
      <c r="P169" s="34">
        <f t="shared" si="187"/>
        <v>2133.8744827999999</v>
      </c>
      <c r="Q169" s="34">
        <f t="shared" si="187"/>
        <v>1969.3001086399997</v>
      </c>
      <c r="R169" s="34">
        <f t="shared" si="187"/>
        <v>2207.3004003124997</v>
      </c>
      <c r="S169" s="30"/>
      <c r="T169" s="34">
        <f>E169</f>
        <v>1368</v>
      </c>
      <c r="U169" s="34">
        <f>T171</f>
        <v>1576</v>
      </c>
      <c r="V169" s="34">
        <f t="shared" ref="V169:AA169" si="188">U171</f>
        <v>2316</v>
      </c>
      <c r="W169" s="34">
        <f t="shared" si="188"/>
        <v>3536</v>
      </c>
      <c r="X169" s="34">
        <f t="shared" si="188"/>
        <v>3512.4223230809866</v>
      </c>
      <c r="Y169" s="34">
        <f t="shared" si="188"/>
        <v>2945.7709253462508</v>
      </c>
      <c r="Z169" s="34">
        <f t="shared" si="188"/>
        <v>1969.3001086399995</v>
      </c>
      <c r="AA169" s="34">
        <f t="shared" si="188"/>
        <v>2207.3004003124997</v>
      </c>
      <c r="AB169" s="30"/>
      <c r="AC169" s="30"/>
    </row>
    <row r="170" spans="2:29" outlineLevel="1" x14ac:dyDescent="0.2">
      <c r="B170" s="30"/>
      <c r="C170" s="31" t="s">
        <v>126</v>
      </c>
      <c r="D170" s="21" t="s">
        <v>35</v>
      </c>
      <c r="E170" s="34">
        <f t="shared" ref="E170" si="189">E150+E156+E165+E167</f>
        <v>-88</v>
      </c>
      <c r="F170" s="34">
        <f t="shared" ref="F170:H170" si="190">F150+F156+F165+F167</f>
        <v>296</v>
      </c>
      <c r="G170" s="34">
        <f t="shared" si="190"/>
        <v>-188</v>
      </c>
      <c r="H170" s="34">
        <f t="shared" si="190"/>
        <v>928</v>
      </c>
      <c r="I170" s="34">
        <f>I150+I156+I165+I167</f>
        <v>19</v>
      </c>
      <c r="J170" s="34">
        <f t="shared" ref="J170:K170" si="191">J150+J156+J165+J167</f>
        <v>1201</v>
      </c>
      <c r="K170" s="34">
        <f t="shared" si="191"/>
        <v>-31</v>
      </c>
      <c r="L170" s="34">
        <f t="shared" ref="L170:U170" si="192">L150+L156+L165+L167</f>
        <v>7.4223230809870451</v>
      </c>
      <c r="M170" s="34">
        <f t="shared" si="192"/>
        <v>-753.90415619566647</v>
      </c>
      <c r="N170" s="34">
        <f t="shared" si="192"/>
        <v>187.25275846093075</v>
      </c>
      <c r="O170" s="34">
        <f t="shared" si="192"/>
        <v>-811.89644254625136</v>
      </c>
      <c r="P170" s="34">
        <f t="shared" si="192"/>
        <v>-164.57437416000022</v>
      </c>
      <c r="Q170" s="34">
        <f t="shared" si="192"/>
        <v>238.00029167250005</v>
      </c>
      <c r="R170" s="34">
        <f t="shared" si="192"/>
        <v>261.8338849218747</v>
      </c>
      <c r="S170" s="30"/>
      <c r="T170" s="34">
        <f t="shared" si="192"/>
        <v>208</v>
      </c>
      <c r="U170" s="34">
        <f t="shared" si="192"/>
        <v>740</v>
      </c>
      <c r="V170" s="34">
        <f t="shared" ref="V170:AA170" si="193">V150+V156+V165+V167</f>
        <v>1220</v>
      </c>
      <c r="W170" s="34">
        <f t="shared" si="193"/>
        <v>-23.577676919013186</v>
      </c>
      <c r="X170" s="34">
        <f t="shared" si="193"/>
        <v>-566.65139773473561</v>
      </c>
      <c r="Y170" s="34">
        <f t="shared" si="193"/>
        <v>-976.4708167062513</v>
      </c>
      <c r="Z170" s="34">
        <f t="shared" si="193"/>
        <v>238.00029167250005</v>
      </c>
      <c r="AA170" s="34">
        <f t="shared" si="193"/>
        <v>261.8338849218747</v>
      </c>
      <c r="AB170" s="30"/>
      <c r="AC170" s="30"/>
    </row>
    <row r="171" spans="2:29" outlineLevel="1" x14ac:dyDescent="0.2">
      <c r="B171" s="30"/>
      <c r="C171" s="20" t="s">
        <v>127</v>
      </c>
      <c r="D171" s="2" t="s">
        <v>35</v>
      </c>
      <c r="E171" s="23">
        <f t="shared" ref="E171" si="194">SUM(E169:E170)</f>
        <v>1280</v>
      </c>
      <c r="F171" s="23">
        <f t="shared" ref="F171:H171" si="195">SUM(F169:F170)</f>
        <v>1576</v>
      </c>
      <c r="G171" s="23">
        <f t="shared" si="195"/>
        <v>1388</v>
      </c>
      <c r="H171" s="23">
        <f t="shared" si="195"/>
        <v>2316</v>
      </c>
      <c r="I171" s="23">
        <f>SUM(I169:I170)</f>
        <v>2335</v>
      </c>
      <c r="J171" s="23">
        <f t="shared" ref="J171:K171" si="196">SUM(J169:J170)</f>
        <v>3536</v>
      </c>
      <c r="K171" s="23">
        <f t="shared" si="196"/>
        <v>3505</v>
      </c>
      <c r="L171" s="23">
        <f t="shared" ref="L171:R171" si="197">SUM(L169:L170)</f>
        <v>3512.4223230809871</v>
      </c>
      <c r="M171" s="23">
        <f t="shared" si="197"/>
        <v>2758.5181668853206</v>
      </c>
      <c r="N171" s="23">
        <f t="shared" si="197"/>
        <v>2945.7709253462513</v>
      </c>
      <c r="O171" s="23">
        <f t="shared" si="197"/>
        <v>2133.8744827999999</v>
      </c>
      <c r="P171" s="23">
        <f t="shared" si="197"/>
        <v>1969.3001086399997</v>
      </c>
      <c r="Q171" s="23">
        <f t="shared" si="197"/>
        <v>2207.3004003124997</v>
      </c>
      <c r="R171" s="23">
        <f t="shared" si="197"/>
        <v>2469.1342852343746</v>
      </c>
      <c r="S171" s="30"/>
      <c r="T171" s="23">
        <f>SUM(T169:T170)</f>
        <v>1576</v>
      </c>
      <c r="U171" s="23">
        <f>SUM(U169:U170)</f>
        <v>2316</v>
      </c>
      <c r="V171" s="23">
        <f t="shared" ref="V171:AA171" si="198">SUM(V169:V170)</f>
        <v>3536</v>
      </c>
      <c r="W171" s="23">
        <f t="shared" si="198"/>
        <v>3512.4223230809866</v>
      </c>
      <c r="X171" s="23">
        <f t="shared" si="198"/>
        <v>2945.7709253462508</v>
      </c>
      <c r="Y171" s="23">
        <f t="shared" si="198"/>
        <v>1969.3001086399995</v>
      </c>
      <c r="Z171" s="23">
        <f t="shared" si="198"/>
        <v>2207.3004003124997</v>
      </c>
      <c r="AA171" s="23">
        <f t="shared" si="198"/>
        <v>2469.1342852343746</v>
      </c>
      <c r="AB171" s="30"/>
      <c r="AC171" s="30"/>
    </row>
    <row r="172" spans="2:29" x14ac:dyDescent="0.2"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spans="2:29" x14ac:dyDescent="0.2">
      <c r="B173" s="6"/>
      <c r="C173" s="6"/>
      <c r="D173" s="6"/>
      <c r="E173" s="12" t="str">
        <f ca="1">$E$25</f>
        <v>Historical (Half-Years):</v>
      </c>
      <c r="F173" s="14"/>
      <c r="G173" s="14"/>
      <c r="H173" s="14"/>
      <c r="I173" s="14"/>
      <c r="J173" s="14"/>
      <c r="K173" s="14"/>
      <c r="L173" s="412"/>
      <c r="M173" s="14"/>
      <c r="N173" s="14"/>
      <c r="O173" s="12"/>
      <c r="P173" s="15"/>
      <c r="Q173" s="12" t="str">
        <f>$Q$25</f>
        <v>Projected (Annual):</v>
      </c>
      <c r="R173" s="14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spans="2:29" x14ac:dyDescent="0.2">
      <c r="B174" s="7" t="s">
        <v>128</v>
      </c>
      <c r="C174" s="8"/>
      <c r="D174" s="9" t="str">
        <f>$D$5</f>
        <v>Units:</v>
      </c>
      <c r="E174" s="13">
        <f>$E$26</f>
        <v>43555</v>
      </c>
      <c r="F174" s="16">
        <f>$F$26</f>
        <v>43738</v>
      </c>
      <c r="G174" s="13">
        <f>$G$26</f>
        <v>43921</v>
      </c>
      <c r="H174" s="16">
        <f>$H$26</f>
        <v>44104</v>
      </c>
      <c r="I174" s="13">
        <f>$I$26</f>
        <v>44286</v>
      </c>
      <c r="J174" s="16">
        <f>$J$26</f>
        <v>44469</v>
      </c>
      <c r="K174" s="409">
        <f>$K$26</f>
        <v>44651</v>
      </c>
      <c r="L174" s="410">
        <f>$L$26</f>
        <v>44834</v>
      </c>
      <c r="M174" s="13">
        <f>$M$26</f>
        <v>45016</v>
      </c>
      <c r="N174" s="16">
        <f>$N$26</f>
        <v>45199</v>
      </c>
      <c r="O174" s="13">
        <f>$O$26</f>
        <v>45382</v>
      </c>
      <c r="P174" s="65">
        <f>$P$26</f>
        <v>45565</v>
      </c>
      <c r="Q174" s="37">
        <f>$Q$26</f>
        <v>45930</v>
      </c>
      <c r="R174" s="37">
        <f>$R$26</f>
        <v>46295</v>
      </c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spans="2:29" outlineLevel="1" x14ac:dyDescent="0.2"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spans="2:29" outlineLevel="1" x14ac:dyDescent="0.2">
      <c r="B176" s="30"/>
      <c r="C176" s="31" t="s">
        <v>129</v>
      </c>
      <c r="D176" s="2" t="s">
        <v>35</v>
      </c>
      <c r="E176" s="30"/>
      <c r="F176" s="30"/>
      <c r="G176" s="30"/>
      <c r="H176" s="30"/>
      <c r="I176" s="30"/>
      <c r="J176" s="30"/>
      <c r="K176" s="4">
        <v>785</v>
      </c>
      <c r="L176" s="41">
        <f t="shared" ref="L176:R176" si="199">K176+L200+L201+L210+L215</f>
        <v>0</v>
      </c>
      <c r="M176" s="41">
        <f t="shared" si="199"/>
        <v>0</v>
      </c>
      <c r="N176" s="41">
        <f t="shared" si="199"/>
        <v>0</v>
      </c>
      <c r="O176" s="41">
        <f t="shared" si="199"/>
        <v>786.28824395508241</v>
      </c>
      <c r="P176" s="41">
        <f t="shared" si="199"/>
        <v>267.91499082098892</v>
      </c>
      <c r="Q176" s="41">
        <f t="shared" si="199"/>
        <v>1014.0143619199953</v>
      </c>
      <c r="R176" s="41">
        <f t="shared" si="199"/>
        <v>0</v>
      </c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spans="3:18" outlineLevel="1" x14ac:dyDescent="0.2">
      <c r="C177" s="31" t="s">
        <v>130</v>
      </c>
      <c r="D177" s="2" t="s">
        <v>35</v>
      </c>
      <c r="E177" s="30"/>
      <c r="F177" s="30"/>
      <c r="G177" s="30"/>
      <c r="H177" s="30"/>
      <c r="I177" s="30"/>
      <c r="J177" s="30"/>
      <c r="K177" s="5">
        <v>2261</v>
      </c>
      <c r="L177" s="33">
        <f t="shared" ref="L177:R177" si="200">K177+L199+L216</f>
        <v>2261</v>
      </c>
      <c r="M177" s="33">
        <f t="shared" si="200"/>
        <v>1881</v>
      </c>
      <c r="N177" s="33">
        <f t="shared" si="200"/>
        <v>1881</v>
      </c>
      <c r="O177" s="33">
        <f t="shared" si="200"/>
        <v>1441</v>
      </c>
      <c r="P177" s="33">
        <f t="shared" si="200"/>
        <v>1441</v>
      </c>
      <c r="Q177" s="33">
        <f t="shared" si="200"/>
        <v>1001</v>
      </c>
      <c r="R177" s="33">
        <f t="shared" si="200"/>
        <v>2392.2930003713955</v>
      </c>
    </row>
    <row r="178" spans="3:18" outlineLevel="1" x14ac:dyDescent="0.2">
      <c r="C178" s="31" t="s">
        <v>131</v>
      </c>
      <c r="D178" s="21" t="s">
        <v>35</v>
      </c>
      <c r="E178" s="30"/>
      <c r="F178" s="30"/>
      <c r="G178" s="30"/>
      <c r="H178" s="30"/>
      <c r="I178" s="30"/>
      <c r="J178" s="30"/>
      <c r="K178" s="5">
        <v>0</v>
      </c>
      <c r="L178" s="33">
        <f t="shared" ref="L178:R178" si="201">K178+L217</f>
        <v>0</v>
      </c>
      <c r="M178" s="33">
        <f t="shared" si="201"/>
        <v>0</v>
      </c>
      <c r="N178" s="33">
        <f t="shared" si="201"/>
        <v>0</v>
      </c>
      <c r="O178" s="33">
        <f t="shared" si="201"/>
        <v>0</v>
      </c>
      <c r="P178" s="33">
        <f t="shared" si="201"/>
        <v>0</v>
      </c>
      <c r="Q178" s="33">
        <f t="shared" si="201"/>
        <v>0</v>
      </c>
      <c r="R178" s="33">
        <f t="shared" si="201"/>
        <v>0</v>
      </c>
    </row>
    <row r="179" spans="3:18" outlineLevel="1" x14ac:dyDescent="0.2">
      <c r="C179" s="20" t="s">
        <v>132</v>
      </c>
      <c r="D179" s="2" t="s">
        <v>35</v>
      </c>
      <c r="E179" s="430"/>
      <c r="F179" s="430"/>
      <c r="G179" s="430"/>
      <c r="H179" s="430"/>
      <c r="I179" s="430"/>
      <c r="J179" s="430"/>
      <c r="K179" s="24">
        <f t="shared" ref="K179:R179" si="202">SUM(K176:K178)</f>
        <v>3046</v>
      </c>
      <c r="L179" s="53">
        <f t="shared" si="202"/>
        <v>2261</v>
      </c>
      <c r="M179" s="53">
        <f t="shared" si="202"/>
        <v>1881</v>
      </c>
      <c r="N179" s="53">
        <f t="shared" si="202"/>
        <v>1881</v>
      </c>
      <c r="O179" s="53">
        <f t="shared" si="202"/>
        <v>2227.2882439550822</v>
      </c>
      <c r="P179" s="53">
        <f t="shared" si="202"/>
        <v>1708.9149908209888</v>
      </c>
      <c r="Q179" s="53">
        <f t="shared" si="202"/>
        <v>2015.0143619199953</v>
      </c>
      <c r="R179" s="53">
        <f t="shared" si="202"/>
        <v>2392.2930003713955</v>
      </c>
    </row>
    <row r="180" spans="3:18" outlineLevel="1" x14ac:dyDescent="0.2"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3:18" outlineLevel="1" x14ac:dyDescent="0.2">
      <c r="C181" s="30" t="s">
        <v>133</v>
      </c>
      <c r="D181" s="2" t="s">
        <v>35</v>
      </c>
      <c r="E181" s="30"/>
      <c r="F181" s="30"/>
      <c r="G181" s="30"/>
      <c r="H181" s="30"/>
      <c r="I181" s="30"/>
      <c r="J181" s="30"/>
      <c r="K181" s="48">
        <v>3000</v>
      </c>
      <c r="L181" s="30"/>
      <c r="M181" s="30"/>
      <c r="N181" s="30"/>
      <c r="O181" s="30"/>
      <c r="P181" s="30"/>
      <c r="Q181" s="30"/>
      <c r="R181" s="30"/>
    </row>
    <row r="182" spans="3:18" outlineLevel="1" x14ac:dyDescent="0.2">
      <c r="C182" s="30" t="s">
        <v>134</v>
      </c>
      <c r="D182" s="2" t="s">
        <v>35</v>
      </c>
      <c r="E182" s="30"/>
      <c r="F182" s="30"/>
      <c r="G182" s="30"/>
      <c r="H182" s="30"/>
      <c r="I182" s="30"/>
      <c r="J182" s="30"/>
      <c r="K182" s="48">
        <v>1550</v>
      </c>
      <c r="L182" s="30"/>
      <c r="M182" s="30"/>
      <c r="N182" s="30"/>
      <c r="O182" s="30"/>
      <c r="P182" s="30"/>
      <c r="Q182" s="30"/>
      <c r="R182" s="30"/>
    </row>
    <row r="183" spans="3:18" outlineLevel="1" x14ac:dyDescent="0.2">
      <c r="C183" s="30" t="s">
        <v>135</v>
      </c>
      <c r="D183" s="2" t="s">
        <v>13</v>
      </c>
      <c r="E183" s="30"/>
      <c r="F183" s="30"/>
      <c r="G183" s="30"/>
      <c r="H183" s="30"/>
      <c r="I183" s="30"/>
      <c r="J183" s="30"/>
      <c r="K183" s="38">
        <v>0.02</v>
      </c>
      <c r="L183" s="30"/>
      <c r="M183" s="30"/>
      <c r="N183" s="30"/>
      <c r="O183" s="30"/>
      <c r="P183" s="30"/>
      <c r="Q183" s="30"/>
      <c r="R183" s="30"/>
    </row>
    <row r="184" spans="3:18" outlineLevel="1" x14ac:dyDescent="0.2"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3:18" outlineLevel="1" x14ac:dyDescent="0.2">
      <c r="C185" s="30" t="s">
        <v>136</v>
      </c>
      <c r="D185" s="2" t="s">
        <v>13</v>
      </c>
      <c r="E185" s="30"/>
      <c r="F185" s="30"/>
      <c r="G185" s="30"/>
      <c r="H185" s="30"/>
      <c r="I185" s="30"/>
      <c r="J185" s="30"/>
      <c r="K185" s="63">
        <f>(380*1.75%+440*1.125%+440*0.875%+1001*1.875%)/K177</f>
        <v>1.5134343210968598E-2</v>
      </c>
      <c r="L185" s="63">
        <f>(380*1.75%+440*1.125%+440*0.875%+1001*1.875%)/K177</f>
        <v>1.5134343210968598E-2</v>
      </c>
      <c r="M185" s="63">
        <f>(380*1.75%+440*1.125%+440*0.875%+1001*1.875%)/L177</f>
        <v>1.5134343210968598E-2</v>
      </c>
      <c r="N185" s="63">
        <f>(440*1.125%+440*0.875%+1001*1.875%)/M177</f>
        <v>1.4656432748538013E-2</v>
      </c>
      <c r="O185" s="63">
        <f>(440*1.125%+440*0.875%+1001*1.875%)/N177</f>
        <v>1.4656432748538013E-2</v>
      </c>
      <c r="P185" s="63">
        <f>(440*0.875%+1001*1.875%)/O177</f>
        <v>1.5696564885496183E-2</v>
      </c>
      <c r="Q185" s="63">
        <f>(440*0.875%+1001*1.875%)/P177</f>
        <v>1.5696564885496183E-2</v>
      </c>
      <c r="R185" s="55">
        <v>3.5000000000000003E-2</v>
      </c>
    </row>
    <row r="186" spans="3:18" outlineLevel="1" x14ac:dyDescent="0.2">
      <c r="C186" s="30" t="s">
        <v>137</v>
      </c>
      <c r="D186" s="2" t="s">
        <v>13</v>
      </c>
      <c r="E186" s="30"/>
      <c r="F186" s="30"/>
      <c r="G186" s="30"/>
      <c r="H186" s="30"/>
      <c r="I186" s="30"/>
      <c r="J186" s="30"/>
      <c r="K186" s="30"/>
      <c r="L186" s="57">
        <f>L190+$K$189</f>
        <v>1.7500000000000002E-2</v>
      </c>
      <c r="M186" s="57">
        <f t="shared" ref="M186:R186" si="203">M190+$K$189</f>
        <v>2.5000000000000001E-2</v>
      </c>
      <c r="N186" s="57">
        <f t="shared" si="203"/>
        <v>3.4999999999999996E-2</v>
      </c>
      <c r="O186" s="57">
        <f t="shared" si="203"/>
        <v>3.4999999999999996E-2</v>
      </c>
      <c r="P186" s="57">
        <f t="shared" si="203"/>
        <v>3.4999999999999996E-2</v>
      </c>
      <c r="Q186" s="57">
        <f t="shared" si="203"/>
        <v>3.2500000000000001E-2</v>
      </c>
      <c r="R186" s="57">
        <f t="shared" si="203"/>
        <v>3.0000000000000002E-2</v>
      </c>
    </row>
    <row r="187" spans="3:18" outlineLevel="1" x14ac:dyDescent="0.2">
      <c r="C187" s="30" t="s">
        <v>138</v>
      </c>
      <c r="D187" s="2" t="s">
        <v>13</v>
      </c>
      <c r="E187" s="30"/>
      <c r="F187" s="30"/>
      <c r="G187" s="30"/>
      <c r="H187" s="30"/>
      <c r="I187" s="30"/>
      <c r="J187" s="30"/>
      <c r="K187" s="55">
        <v>0.05</v>
      </c>
      <c r="L187" s="30"/>
      <c r="M187" s="30"/>
      <c r="N187" s="30"/>
      <c r="O187" s="30"/>
      <c r="P187" s="30"/>
      <c r="Q187" s="30"/>
      <c r="R187" s="30"/>
    </row>
    <row r="188" spans="3:18" outlineLevel="1" x14ac:dyDescent="0.2"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3:18" outlineLevel="1" x14ac:dyDescent="0.2">
      <c r="C189" s="30" t="s">
        <v>139</v>
      </c>
      <c r="D189" s="2" t="s">
        <v>13</v>
      </c>
      <c r="E189" s="30"/>
      <c r="F189" s="30"/>
      <c r="G189" s="30"/>
      <c r="H189" s="30"/>
      <c r="I189" s="30"/>
      <c r="J189" s="30"/>
      <c r="K189" s="55">
        <v>5.0000000000000001E-3</v>
      </c>
      <c r="L189" s="30"/>
      <c r="M189" s="30"/>
      <c r="N189" s="30"/>
      <c r="O189" s="30"/>
      <c r="P189" s="30"/>
      <c r="Q189" s="30"/>
      <c r="R189" s="30"/>
    </row>
    <row r="190" spans="3:18" outlineLevel="1" x14ac:dyDescent="0.2">
      <c r="C190" s="30" t="s">
        <v>140</v>
      </c>
      <c r="D190" s="2" t="s">
        <v>13</v>
      </c>
      <c r="E190" s="30"/>
      <c r="F190" s="30"/>
      <c r="G190" s="30"/>
      <c r="H190" s="30"/>
      <c r="I190" s="30"/>
      <c r="J190" s="30"/>
      <c r="K190" s="56">
        <v>2E-3</v>
      </c>
      <c r="L190" s="56">
        <v>1.2500000000000001E-2</v>
      </c>
      <c r="M190" s="56">
        <v>0.02</v>
      </c>
      <c r="N190" s="56">
        <v>0.03</v>
      </c>
      <c r="O190" s="56">
        <v>0.03</v>
      </c>
      <c r="P190" s="56">
        <v>0.03</v>
      </c>
      <c r="Q190" s="56">
        <v>2.75E-2</v>
      </c>
      <c r="R190" s="56">
        <v>2.5000000000000001E-2</v>
      </c>
    </row>
    <row r="191" spans="3:18" outlineLevel="1" x14ac:dyDescent="0.2">
      <c r="C191" s="30"/>
      <c r="D191" s="30"/>
      <c r="E191" s="30"/>
      <c r="F191" s="30"/>
      <c r="G191" s="433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3:18" outlineLevel="1" x14ac:dyDescent="0.2">
      <c r="C192" s="30" t="s">
        <v>141</v>
      </c>
      <c r="D192" s="2" t="s">
        <v>13</v>
      </c>
      <c r="E192" s="30"/>
      <c r="F192" s="30"/>
      <c r="G192" s="433"/>
      <c r="H192" s="433"/>
      <c r="I192" s="433"/>
      <c r="J192" s="433"/>
      <c r="K192" s="55">
        <v>4.4999999999999998E-2</v>
      </c>
      <c r="L192" s="30"/>
      <c r="M192" s="30"/>
      <c r="N192" s="30"/>
      <c r="O192" s="30"/>
      <c r="P192" s="30"/>
      <c r="Q192" s="30"/>
      <c r="R192" s="30"/>
    </row>
    <row r="193" spans="3:18" outlineLevel="1" x14ac:dyDescent="0.2">
      <c r="C193" s="30" t="s">
        <v>142</v>
      </c>
      <c r="D193" s="2" t="s">
        <v>35</v>
      </c>
      <c r="E193" s="5"/>
      <c r="F193" s="5"/>
      <c r="G193" s="5">
        <v>12</v>
      </c>
      <c r="H193" s="5">
        <v>12</v>
      </c>
      <c r="I193" s="5">
        <v>21</v>
      </c>
      <c r="J193" s="5">
        <v>21</v>
      </c>
      <c r="K193" s="30"/>
      <c r="L193" s="30"/>
      <c r="M193" s="30"/>
      <c r="N193" s="30"/>
      <c r="O193" s="30"/>
      <c r="P193" s="30"/>
      <c r="Q193" s="30"/>
      <c r="R193" s="30"/>
    </row>
    <row r="194" spans="3:18" outlineLevel="1" x14ac:dyDescent="0.2"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3:18" outlineLevel="1" x14ac:dyDescent="0.2">
      <c r="C195" s="31" t="s">
        <v>78</v>
      </c>
      <c r="D195" s="2" t="s">
        <v>35</v>
      </c>
      <c r="E195" s="30"/>
      <c r="F195" s="30"/>
      <c r="G195" s="30"/>
      <c r="H195" s="30"/>
      <c r="I195" s="30"/>
      <c r="J195" s="30"/>
      <c r="K195" s="30"/>
      <c r="L195" s="34">
        <f>L190*K119/2</f>
        <v>21.90625</v>
      </c>
      <c r="M195" s="34">
        <f>M190*L119/2</f>
        <v>35.124223230809875</v>
      </c>
      <c r="N195" s="34">
        <f>N190*M119/2</f>
        <v>41.377772503279807</v>
      </c>
      <c r="O195" s="34">
        <f>O190*N119/2</f>
        <v>44.186563880193766</v>
      </c>
      <c r="P195" s="34">
        <f>P190*O119/2</f>
        <v>32.008117241999997</v>
      </c>
      <c r="Q195" s="34">
        <f>Q190*P119</f>
        <v>54.155752987599996</v>
      </c>
      <c r="R195" s="34">
        <f>R190*Q119</f>
        <v>55.182510007812496</v>
      </c>
    </row>
    <row r="196" spans="3:18" outlineLevel="1" x14ac:dyDescent="0.2">
      <c r="C196" s="31" t="s">
        <v>79</v>
      </c>
      <c r="D196" s="21" t="s">
        <v>35</v>
      </c>
      <c r="E196" s="30"/>
      <c r="F196" s="30"/>
      <c r="G196" s="30"/>
      <c r="H196" s="30"/>
      <c r="I196" s="30"/>
      <c r="J196" s="30"/>
      <c r="K196" s="30"/>
      <c r="L196" s="34">
        <f>-(K177*L185+K176*L186+K178*$K$187+K130*$K$192)/2</f>
        <v>-47.715625000000003</v>
      </c>
      <c r="M196" s="34">
        <f t="shared" ref="M196:P196" si="204">-(L177*M185+L176*M186+L178*$K$187+L130*$K$192)/2</f>
        <v>-40.846874999999997</v>
      </c>
      <c r="N196" s="34">
        <f t="shared" si="204"/>
        <v>-38.061895249999999</v>
      </c>
      <c r="O196" s="34">
        <f t="shared" si="204"/>
        <v>-38.515438549999999</v>
      </c>
      <c r="P196" s="34">
        <f t="shared" si="204"/>
        <v>-50.707716839213937</v>
      </c>
      <c r="Q196" s="34">
        <f>-(P177*Q185+P176*Q186+P178*$K$187+P130*$K$192)</f>
        <v>-83.993448461682135</v>
      </c>
      <c r="R196" s="34">
        <f t="shared" ref="R196" si="205">-(Q177*R185+Q176*R186+Q178*$K$187+Q130*$K$192)</f>
        <v>-122.31068324259985</v>
      </c>
    </row>
    <row r="197" spans="3:18" outlineLevel="1" x14ac:dyDescent="0.2">
      <c r="C197" s="20" t="s">
        <v>143</v>
      </c>
      <c r="D197" s="2" t="s">
        <v>35</v>
      </c>
      <c r="E197" s="430"/>
      <c r="F197" s="430"/>
      <c r="G197" s="430"/>
      <c r="H197" s="430"/>
      <c r="I197" s="430"/>
      <c r="J197" s="430"/>
      <c r="K197" s="430"/>
      <c r="L197" s="24">
        <f>SUM(L195:L196)</f>
        <v>-25.809375000000003</v>
      </c>
      <c r="M197" s="24">
        <f t="shared" ref="M197:R197" si="206">SUM(M195:M196)</f>
        <v>-5.7226517691901222</v>
      </c>
      <c r="N197" s="24">
        <f t="shared" si="206"/>
        <v>3.3158772532798082</v>
      </c>
      <c r="O197" s="24">
        <f t="shared" si="206"/>
        <v>5.6711253301937674</v>
      </c>
      <c r="P197" s="24">
        <f t="shared" si="206"/>
        <v>-18.69959959721394</v>
      </c>
      <c r="Q197" s="24">
        <f t="shared" si="206"/>
        <v>-29.837695474082139</v>
      </c>
      <c r="R197" s="24">
        <f t="shared" si="206"/>
        <v>-67.128173234787354</v>
      </c>
    </row>
    <row r="198" spans="3:18" outlineLevel="1" x14ac:dyDescent="0.2"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3:18" outlineLevel="1" x14ac:dyDescent="0.2">
      <c r="C199" s="31" t="s">
        <v>144</v>
      </c>
      <c r="D199" s="2" t="s">
        <v>35</v>
      </c>
      <c r="E199" s="30"/>
      <c r="F199" s="30"/>
      <c r="G199" s="30"/>
      <c r="H199" s="30"/>
      <c r="I199" s="30"/>
      <c r="J199" s="30"/>
      <c r="K199" s="30"/>
      <c r="L199" s="48">
        <v>0</v>
      </c>
      <c r="M199" s="48">
        <v>-380</v>
      </c>
      <c r="N199" s="48">
        <v>0</v>
      </c>
      <c r="O199" s="48">
        <v>-440</v>
      </c>
      <c r="P199" s="48">
        <v>0</v>
      </c>
      <c r="Q199" s="48">
        <v>-440</v>
      </c>
      <c r="R199" s="48">
        <v>0</v>
      </c>
    </row>
    <row r="200" spans="3:18" outlineLevel="1" x14ac:dyDescent="0.2">
      <c r="C200" s="31" t="s">
        <v>145</v>
      </c>
      <c r="D200" s="2" t="s">
        <v>35</v>
      </c>
      <c r="E200" s="30"/>
      <c r="F200" s="30"/>
      <c r="G200" s="30"/>
      <c r="H200" s="30"/>
      <c r="I200" s="30"/>
      <c r="J200" s="30"/>
      <c r="K200" s="30"/>
      <c r="L200" s="34">
        <f>-K176*$K$183/2</f>
        <v>-7.8500000000000005</v>
      </c>
      <c r="M200" s="34">
        <f>-L176*$K$183/2</f>
        <v>0</v>
      </c>
      <c r="N200" s="34">
        <f>-M176*$K$183/2</f>
        <v>0</v>
      </c>
      <c r="O200" s="34">
        <f>-N176*$K$183/2</f>
        <v>0</v>
      </c>
      <c r="P200" s="34">
        <f>-O176*$K$183/2</f>
        <v>-7.8628824395508241</v>
      </c>
      <c r="Q200" s="34">
        <f>-P176*$K$183</f>
        <v>-5.3582998164197786</v>
      </c>
      <c r="R200" s="34">
        <f>-Q176*$K$183</f>
        <v>-20.280287238399907</v>
      </c>
    </row>
    <row r="201" spans="3:18" outlineLevel="1" x14ac:dyDescent="0.2">
      <c r="C201" s="31" t="s">
        <v>146</v>
      </c>
      <c r="D201" s="21" t="s">
        <v>35</v>
      </c>
      <c r="E201" s="30"/>
      <c r="F201" s="30"/>
      <c r="G201" s="30"/>
      <c r="H201" s="30"/>
      <c r="I201" s="30"/>
      <c r="J201" s="30"/>
      <c r="K201" s="30"/>
      <c r="L201" s="48">
        <v>0</v>
      </c>
      <c r="M201" s="48">
        <v>0</v>
      </c>
      <c r="N201" s="48">
        <v>0</v>
      </c>
      <c r="O201" s="48">
        <v>0</v>
      </c>
      <c r="P201" s="48">
        <v>0</v>
      </c>
      <c r="Q201" s="48">
        <v>0</v>
      </c>
      <c r="R201" s="34">
        <f>-(Q176+R200)</f>
        <v>-993.73407468159542</v>
      </c>
    </row>
    <row r="202" spans="3:18" outlineLevel="1" x14ac:dyDescent="0.2">
      <c r="C202" s="20" t="s">
        <v>147</v>
      </c>
      <c r="D202" s="2" t="s">
        <v>35</v>
      </c>
      <c r="E202" s="430"/>
      <c r="F202" s="430"/>
      <c r="G202" s="430"/>
      <c r="H202" s="430"/>
      <c r="I202" s="430"/>
      <c r="J202" s="430"/>
      <c r="K202" s="430"/>
      <c r="L202" s="24">
        <f>SUM(L199:L201)</f>
        <v>-7.8500000000000005</v>
      </c>
      <c r="M202" s="24">
        <f t="shared" ref="M202:R202" si="207">SUM(M199:M201)</f>
        <v>-380</v>
      </c>
      <c r="N202" s="24">
        <f t="shared" si="207"/>
        <v>0</v>
      </c>
      <c r="O202" s="24">
        <f t="shared" si="207"/>
        <v>-440</v>
      </c>
      <c r="P202" s="24">
        <f t="shared" si="207"/>
        <v>-7.8628824395508241</v>
      </c>
      <c r="Q202" s="24">
        <f t="shared" si="207"/>
        <v>-445.35829981641979</v>
      </c>
      <c r="R202" s="24">
        <f t="shared" si="207"/>
        <v>-1014.0143619199953</v>
      </c>
    </row>
    <row r="203" spans="3:18" outlineLevel="1" x14ac:dyDescent="0.2"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3:18" outlineLevel="1" x14ac:dyDescent="0.2">
      <c r="C204" s="30" t="s">
        <v>148</v>
      </c>
      <c r="D204" s="2" t="s">
        <v>35</v>
      </c>
      <c r="E204" s="30"/>
      <c r="F204" s="30"/>
      <c r="G204" s="30"/>
      <c r="H204" s="30"/>
      <c r="I204" s="30"/>
      <c r="J204" s="30"/>
      <c r="K204" s="48">
        <v>500</v>
      </c>
      <c r="L204" s="30"/>
      <c r="M204" s="30"/>
      <c r="N204" s="30"/>
      <c r="O204" s="30"/>
      <c r="P204" s="30"/>
      <c r="Q204" s="30"/>
      <c r="R204" s="30"/>
    </row>
    <row r="205" spans="3:18" outlineLevel="1" x14ac:dyDescent="0.2">
      <c r="C205" s="30" t="s">
        <v>149</v>
      </c>
      <c r="D205" s="2" t="s">
        <v>35</v>
      </c>
      <c r="E205" s="426"/>
      <c r="F205" s="30"/>
      <c r="G205" s="30"/>
      <c r="H205" s="30"/>
      <c r="I205" s="30"/>
      <c r="J205" s="30"/>
      <c r="K205" s="30"/>
      <c r="L205" s="34">
        <f t="shared" ref="L205:R205" si="208">L127+$K$204</f>
        <v>2782.3176750000002</v>
      </c>
      <c r="M205" s="34">
        <f t="shared" si="208"/>
        <v>2717.4532311500002</v>
      </c>
      <c r="N205" s="34">
        <f t="shared" si="208"/>
        <v>2630.0191734499995</v>
      </c>
      <c r="O205" s="34">
        <f t="shared" si="208"/>
        <v>2133.8744827999999</v>
      </c>
      <c r="P205" s="34">
        <f t="shared" si="208"/>
        <v>1969.3001086399997</v>
      </c>
      <c r="Q205" s="34">
        <f t="shared" si="208"/>
        <v>2207.3004003124997</v>
      </c>
      <c r="R205" s="34">
        <f t="shared" si="208"/>
        <v>2469.1342852343741</v>
      </c>
    </row>
    <row r="206" spans="3:18" outlineLevel="1" x14ac:dyDescent="0.2">
      <c r="C206" s="30" t="s">
        <v>150</v>
      </c>
      <c r="D206" s="2" t="s">
        <v>35</v>
      </c>
      <c r="E206" s="426"/>
      <c r="F206" s="30"/>
      <c r="G206" s="30"/>
      <c r="H206" s="30"/>
      <c r="I206" s="30"/>
      <c r="J206" s="30"/>
      <c r="K206" s="30"/>
      <c r="L206" s="34">
        <f t="shared" ref="L206:R206" si="209">L169+L150+L156+SUM(L161:L164)+L167+L202</f>
        <v>4289.5723230809863</v>
      </c>
      <c r="M206" s="34">
        <f t="shared" si="209"/>
        <v>2758.5181668853206</v>
      </c>
      <c r="N206" s="34">
        <f t="shared" si="209"/>
        <v>2945.7709253462517</v>
      </c>
      <c r="O206" s="34">
        <f t="shared" si="209"/>
        <v>1347.5862388449175</v>
      </c>
      <c r="P206" s="34">
        <f t="shared" si="209"/>
        <v>2479.8104793345424</v>
      </c>
      <c r="Q206" s="34">
        <f t="shared" si="209"/>
        <v>1455.8427293970735</v>
      </c>
      <c r="R206" s="34">
        <f t="shared" si="209"/>
        <v>1077.8412848629787</v>
      </c>
    </row>
    <row r="207" spans="3:18" outlineLevel="1" x14ac:dyDescent="0.2"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3:18" outlineLevel="1" x14ac:dyDescent="0.2">
      <c r="C208" s="30" t="s">
        <v>151</v>
      </c>
      <c r="D208" s="2" t="s">
        <v>35</v>
      </c>
      <c r="E208" s="30"/>
      <c r="F208" s="30"/>
      <c r="G208" s="30"/>
      <c r="H208" s="30"/>
      <c r="I208" s="30"/>
      <c r="J208" s="30"/>
      <c r="K208" s="30"/>
      <c r="L208" s="34">
        <f>L205-L206</f>
        <v>-1507.254648080986</v>
      </c>
      <c r="M208" s="34">
        <f t="shared" ref="M208:R208" si="210">M205-M206</f>
        <v>-41.064935735320432</v>
      </c>
      <c r="N208" s="34">
        <f t="shared" si="210"/>
        <v>-315.75175189625224</v>
      </c>
      <c r="O208" s="34">
        <f t="shared" si="210"/>
        <v>786.28824395508241</v>
      </c>
      <c r="P208" s="34">
        <f t="shared" si="210"/>
        <v>-510.51037069454264</v>
      </c>
      <c r="Q208" s="34">
        <f t="shared" si="210"/>
        <v>751.45767091542621</v>
      </c>
      <c r="R208" s="34">
        <f t="shared" si="210"/>
        <v>1391.2930003713955</v>
      </c>
    </row>
    <row r="209" spans="2:27" outlineLevel="1" x14ac:dyDescent="0.2">
      <c r="B209" s="30"/>
      <c r="C209" s="30"/>
      <c r="D209" s="30"/>
      <c r="E209" s="426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spans="2:27" outlineLevel="1" x14ac:dyDescent="0.2">
      <c r="B210" s="30"/>
      <c r="C210" s="30" t="s">
        <v>152</v>
      </c>
      <c r="D210" s="2" t="s">
        <v>35</v>
      </c>
      <c r="E210" s="30"/>
      <c r="F210" s="30"/>
      <c r="G210" s="30"/>
      <c r="H210" s="30"/>
      <c r="I210" s="30"/>
      <c r="J210" s="30"/>
      <c r="K210" s="30"/>
      <c r="L210" s="34">
        <f t="shared" ref="L210:R210" si="211">MIN(0,-MIN(-L208,K176+L200+L201))</f>
        <v>-777.15</v>
      </c>
      <c r="M210" s="34">
        <f t="shared" si="211"/>
        <v>0</v>
      </c>
      <c r="N210" s="34">
        <f t="shared" si="211"/>
        <v>0</v>
      </c>
      <c r="O210" s="34">
        <f t="shared" si="211"/>
        <v>0</v>
      </c>
      <c r="P210" s="34">
        <f t="shared" si="211"/>
        <v>-510.51037069454264</v>
      </c>
      <c r="Q210" s="34">
        <f t="shared" si="211"/>
        <v>0</v>
      </c>
      <c r="R210" s="34">
        <f t="shared" si="211"/>
        <v>0</v>
      </c>
      <c r="S210" s="30"/>
      <c r="T210" s="30"/>
      <c r="U210" s="30"/>
      <c r="V210" s="30"/>
      <c r="W210" s="30"/>
      <c r="X210" s="30"/>
      <c r="Y210" s="30"/>
      <c r="Z210" s="30"/>
      <c r="AA210" s="30"/>
    </row>
    <row r="211" spans="2:27" outlineLevel="1" x14ac:dyDescent="0.2"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spans="2:27" outlineLevel="1" x14ac:dyDescent="0.2">
      <c r="B212" s="30"/>
      <c r="C212" s="30" t="s">
        <v>153</v>
      </c>
      <c r="D212" s="2" t="s">
        <v>35</v>
      </c>
      <c r="E212" s="30"/>
      <c r="F212" s="30"/>
      <c r="G212" s="30"/>
      <c r="H212" s="30"/>
      <c r="I212" s="30"/>
      <c r="J212" s="30"/>
      <c r="K212" s="30"/>
      <c r="L212" s="34">
        <f t="shared" ref="L212:R212" si="212">MAX(0,L208)*Pct_Debt_Funding</f>
        <v>0</v>
      </c>
      <c r="M212" s="34">
        <f t="shared" si="212"/>
        <v>0</v>
      </c>
      <c r="N212" s="34">
        <f t="shared" si="212"/>
        <v>0</v>
      </c>
      <c r="O212" s="34">
        <f t="shared" si="212"/>
        <v>786.28824395508241</v>
      </c>
      <c r="P212" s="34">
        <f t="shared" si="212"/>
        <v>0</v>
      </c>
      <c r="Q212" s="34">
        <f t="shared" si="212"/>
        <v>751.45767091542621</v>
      </c>
      <c r="R212" s="34">
        <f t="shared" si="212"/>
        <v>1391.2930003713955</v>
      </c>
      <c r="S212" s="30"/>
      <c r="T212" s="30"/>
      <c r="U212" s="30"/>
      <c r="V212" s="30"/>
      <c r="W212" s="30"/>
      <c r="X212" s="30"/>
      <c r="Y212" s="30"/>
      <c r="Z212" s="30"/>
      <c r="AA212" s="30"/>
    </row>
    <row r="213" spans="2:27" outlineLevel="1" x14ac:dyDescent="0.2">
      <c r="B213" s="30"/>
      <c r="C213" s="30" t="s">
        <v>154</v>
      </c>
      <c r="D213" s="2" t="s">
        <v>35</v>
      </c>
      <c r="E213" s="30"/>
      <c r="F213" s="30"/>
      <c r="G213" s="30"/>
      <c r="H213" s="30"/>
      <c r="I213" s="30"/>
      <c r="J213" s="30"/>
      <c r="K213" s="30"/>
      <c r="L213" s="34">
        <f t="shared" ref="L213:R213" si="213">MAX(0,L208)*(1-Pct_Debt_Funding)</f>
        <v>0</v>
      </c>
      <c r="M213" s="34">
        <f t="shared" si="213"/>
        <v>0</v>
      </c>
      <c r="N213" s="34">
        <f t="shared" si="213"/>
        <v>0</v>
      </c>
      <c r="O213" s="34">
        <f t="shared" si="213"/>
        <v>0</v>
      </c>
      <c r="P213" s="34">
        <f t="shared" si="213"/>
        <v>0</v>
      </c>
      <c r="Q213" s="34">
        <f t="shared" si="213"/>
        <v>0</v>
      </c>
      <c r="R213" s="34">
        <f t="shared" si="213"/>
        <v>0</v>
      </c>
      <c r="S213" s="30"/>
      <c r="T213" s="30"/>
      <c r="U213" s="30"/>
      <c r="V213" s="30"/>
      <c r="W213" s="30"/>
      <c r="X213" s="30"/>
      <c r="Y213" s="30"/>
      <c r="Z213" s="30"/>
      <c r="AA213" s="30"/>
    </row>
    <row r="214" spans="2:27" outlineLevel="1" x14ac:dyDescent="0.2"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spans="2:27" outlineLevel="1" x14ac:dyDescent="0.2">
      <c r="B215" s="30"/>
      <c r="C215" s="31" t="s">
        <v>155</v>
      </c>
      <c r="D215" s="2" t="s">
        <v>35</v>
      </c>
      <c r="E215" s="426"/>
      <c r="F215" s="30"/>
      <c r="G215" s="30"/>
      <c r="H215" s="30"/>
      <c r="I215" s="30"/>
      <c r="J215" s="30"/>
      <c r="K215" s="30"/>
      <c r="L215" s="34">
        <f t="shared" ref="L215:Q215" si="214">MIN(L$212,$K$182-K176-L200-L201)</f>
        <v>0</v>
      </c>
      <c r="M215" s="34">
        <f t="shared" si="214"/>
        <v>0</v>
      </c>
      <c r="N215" s="34">
        <f t="shared" si="214"/>
        <v>0</v>
      </c>
      <c r="O215" s="34">
        <f t="shared" si="214"/>
        <v>786.28824395508241</v>
      </c>
      <c r="P215" s="34">
        <f t="shared" si="214"/>
        <v>0</v>
      </c>
      <c r="Q215" s="34">
        <f t="shared" si="214"/>
        <v>751.45767091542621</v>
      </c>
      <c r="R215" s="48">
        <v>0</v>
      </c>
      <c r="S215" s="30"/>
      <c r="T215" s="30"/>
      <c r="U215" s="30"/>
      <c r="V215" s="30"/>
      <c r="W215" s="30"/>
      <c r="X215" s="30"/>
      <c r="Y215" s="30"/>
      <c r="Z215" s="30"/>
      <c r="AA215" s="30"/>
    </row>
    <row r="216" spans="2:27" outlineLevel="1" x14ac:dyDescent="0.2">
      <c r="B216" s="30"/>
      <c r="C216" s="31" t="s">
        <v>156</v>
      </c>
      <c r="D216" s="2" t="s">
        <v>35</v>
      </c>
      <c r="E216" s="426"/>
      <c r="F216" s="30"/>
      <c r="G216" s="30"/>
      <c r="H216" s="30"/>
      <c r="I216" s="30"/>
      <c r="J216" s="30"/>
      <c r="K216" s="30"/>
      <c r="L216" s="34">
        <f t="shared" ref="L216:R216" si="215">MIN(L$212-L215,$K$181-K177-L199)</f>
        <v>0</v>
      </c>
      <c r="M216" s="34">
        <f t="shared" si="215"/>
        <v>0</v>
      </c>
      <c r="N216" s="34">
        <f t="shared" si="215"/>
        <v>0</v>
      </c>
      <c r="O216" s="34">
        <f t="shared" si="215"/>
        <v>0</v>
      </c>
      <c r="P216" s="34">
        <f t="shared" si="215"/>
        <v>0</v>
      </c>
      <c r="Q216" s="34">
        <f t="shared" si="215"/>
        <v>0</v>
      </c>
      <c r="R216" s="34">
        <f t="shared" si="215"/>
        <v>1391.2930003713955</v>
      </c>
      <c r="S216" s="30"/>
      <c r="T216" s="30"/>
      <c r="U216" s="30"/>
      <c r="V216" s="30"/>
      <c r="W216" s="30"/>
      <c r="X216" s="30"/>
      <c r="Y216" s="30"/>
      <c r="Z216" s="30"/>
      <c r="AA216" s="30"/>
    </row>
    <row r="217" spans="2:27" outlineLevel="1" x14ac:dyDescent="0.2">
      <c r="B217" s="30"/>
      <c r="C217" s="31" t="s">
        <v>157</v>
      </c>
      <c r="D217" s="2" t="s">
        <v>35</v>
      </c>
      <c r="E217" s="30"/>
      <c r="F217" s="30"/>
      <c r="G217" s="30"/>
      <c r="H217" s="30"/>
      <c r="I217" s="30"/>
      <c r="J217" s="30"/>
      <c r="K217" s="30"/>
      <c r="L217" s="34">
        <f>L212-SUM(L215:L216)</f>
        <v>0</v>
      </c>
      <c r="M217" s="34">
        <f t="shared" ref="M217:R217" si="216">M212-SUM(M215:M216)</f>
        <v>0</v>
      </c>
      <c r="N217" s="34">
        <f t="shared" si="216"/>
        <v>0</v>
      </c>
      <c r="O217" s="34">
        <f t="shared" si="216"/>
        <v>0</v>
      </c>
      <c r="P217" s="34">
        <f t="shared" si="216"/>
        <v>0</v>
      </c>
      <c r="Q217" s="34">
        <f t="shared" si="216"/>
        <v>0</v>
      </c>
      <c r="R217" s="34">
        <f t="shared" si="216"/>
        <v>0</v>
      </c>
      <c r="S217" s="30"/>
      <c r="T217" s="30"/>
      <c r="U217" s="30"/>
      <c r="V217" s="30"/>
      <c r="W217" s="30"/>
      <c r="X217" s="30"/>
      <c r="Y217" s="30"/>
      <c r="Z217" s="30"/>
      <c r="AA217" s="30"/>
    </row>
    <row r="218" spans="2:27" outlineLevel="1" x14ac:dyDescent="0.2">
      <c r="B218" s="30"/>
      <c r="C218" s="31" t="s">
        <v>158</v>
      </c>
      <c r="D218" s="21" t="s">
        <v>35</v>
      </c>
      <c r="E218" s="30"/>
      <c r="F218" s="30"/>
      <c r="G218" s="30"/>
      <c r="H218" s="30"/>
      <c r="I218" s="30"/>
      <c r="J218" s="30"/>
      <c r="K218" s="30"/>
      <c r="L218" s="34">
        <f t="shared" ref="L218:R218" si="217">L213</f>
        <v>0</v>
      </c>
      <c r="M218" s="34">
        <f t="shared" si="217"/>
        <v>0</v>
      </c>
      <c r="N218" s="34">
        <f t="shared" si="217"/>
        <v>0</v>
      </c>
      <c r="O218" s="34">
        <f t="shared" si="217"/>
        <v>0</v>
      </c>
      <c r="P218" s="34">
        <f t="shared" si="217"/>
        <v>0</v>
      </c>
      <c r="Q218" s="34">
        <f t="shared" si="217"/>
        <v>0</v>
      </c>
      <c r="R218" s="34">
        <f t="shared" si="217"/>
        <v>0</v>
      </c>
      <c r="S218" s="30"/>
      <c r="T218" s="30"/>
      <c r="U218" s="30"/>
      <c r="V218" s="30"/>
      <c r="W218" s="30"/>
      <c r="X218" s="30"/>
      <c r="Y218" s="30"/>
      <c r="Z218" s="30"/>
      <c r="AA218" s="30"/>
    </row>
    <row r="219" spans="2:27" outlineLevel="1" x14ac:dyDescent="0.2">
      <c r="B219" s="30"/>
      <c r="C219" s="20" t="s">
        <v>159</v>
      </c>
      <c r="D219" s="2" t="s">
        <v>35</v>
      </c>
      <c r="E219" s="430"/>
      <c r="F219" s="430"/>
      <c r="G219" s="430"/>
      <c r="H219" s="430"/>
      <c r="I219" s="430"/>
      <c r="J219" s="430"/>
      <c r="K219" s="430"/>
      <c r="L219" s="24">
        <f t="shared" ref="L219:R219" si="218">SUM(L215:L218)</f>
        <v>0</v>
      </c>
      <c r="M219" s="24">
        <f t="shared" si="218"/>
        <v>0</v>
      </c>
      <c r="N219" s="24">
        <f t="shared" si="218"/>
        <v>0</v>
      </c>
      <c r="O219" s="24">
        <f t="shared" si="218"/>
        <v>786.28824395508241</v>
      </c>
      <c r="P219" s="24">
        <f t="shared" si="218"/>
        <v>0</v>
      </c>
      <c r="Q219" s="24">
        <f t="shared" si="218"/>
        <v>751.45767091542621</v>
      </c>
      <c r="R219" s="24">
        <f t="shared" si="218"/>
        <v>1391.2930003713955</v>
      </c>
      <c r="S219" s="30"/>
      <c r="T219" s="30"/>
      <c r="U219" s="30"/>
      <c r="V219" s="30"/>
      <c r="W219" s="30"/>
      <c r="X219" s="30"/>
      <c r="Y219" s="30"/>
      <c r="Z219" s="30"/>
      <c r="AA219" s="30"/>
    </row>
    <row r="220" spans="2:27" outlineLevel="1" x14ac:dyDescent="0.2"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spans="2:27" outlineLevel="1" x14ac:dyDescent="0.2">
      <c r="B221" s="30"/>
      <c r="C221" s="19" t="s">
        <v>160</v>
      </c>
      <c r="D221" s="2" t="s">
        <v>35</v>
      </c>
      <c r="E221" s="30"/>
      <c r="F221" s="30"/>
      <c r="G221" s="30"/>
      <c r="H221" s="30"/>
      <c r="I221" s="30"/>
      <c r="J221" s="30"/>
      <c r="K221" s="30"/>
      <c r="L221" s="25">
        <f t="shared" ref="L221:R221" si="219">L202+L210+L212</f>
        <v>-785</v>
      </c>
      <c r="M221" s="25">
        <f t="shared" si="219"/>
        <v>-380</v>
      </c>
      <c r="N221" s="25">
        <f t="shared" si="219"/>
        <v>0</v>
      </c>
      <c r="O221" s="25">
        <f t="shared" si="219"/>
        <v>346.28824395508241</v>
      </c>
      <c r="P221" s="25">
        <f t="shared" si="219"/>
        <v>-518.37325313409349</v>
      </c>
      <c r="Q221" s="25">
        <f t="shared" si="219"/>
        <v>306.09937109900642</v>
      </c>
      <c r="R221" s="25">
        <f t="shared" si="219"/>
        <v>377.27863845140018</v>
      </c>
      <c r="S221" s="30"/>
      <c r="T221" s="30"/>
      <c r="U221" s="30"/>
      <c r="V221" s="30"/>
      <c r="W221" s="30"/>
      <c r="X221" s="30"/>
      <c r="Y221" s="30"/>
      <c r="Z221" s="30"/>
      <c r="AA221" s="30"/>
    </row>
    <row r="222" spans="2:27" outlineLevel="1" x14ac:dyDescent="0.2">
      <c r="B222" s="30"/>
      <c r="C222" s="19" t="s">
        <v>161</v>
      </c>
      <c r="D222" s="2" t="s">
        <v>35</v>
      </c>
      <c r="E222" s="30"/>
      <c r="F222" s="30"/>
      <c r="G222" s="30"/>
      <c r="H222" s="30"/>
      <c r="I222" s="30"/>
      <c r="J222" s="30"/>
      <c r="K222" s="30"/>
      <c r="L222" s="25">
        <f t="shared" ref="L222:R222" si="220">L213</f>
        <v>0</v>
      </c>
      <c r="M222" s="25">
        <f t="shared" si="220"/>
        <v>0</v>
      </c>
      <c r="N222" s="25">
        <f t="shared" si="220"/>
        <v>0</v>
      </c>
      <c r="O222" s="25">
        <f t="shared" si="220"/>
        <v>0</v>
      </c>
      <c r="P222" s="25">
        <f t="shared" si="220"/>
        <v>0</v>
      </c>
      <c r="Q222" s="25">
        <f t="shared" si="220"/>
        <v>0</v>
      </c>
      <c r="R222" s="25">
        <f t="shared" si="220"/>
        <v>0</v>
      </c>
      <c r="S222" s="30"/>
      <c r="T222" s="30"/>
      <c r="U222" s="30"/>
      <c r="V222" s="30"/>
      <c r="W222" s="30"/>
      <c r="X222" s="30"/>
      <c r="Y222" s="30"/>
      <c r="Z222" s="30"/>
      <c r="AA222" s="30"/>
    </row>
    <row r="223" spans="2:27" x14ac:dyDescent="0.2"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spans="2:27" x14ac:dyDescent="0.2">
      <c r="B224" s="6"/>
      <c r="C224" s="6"/>
      <c r="D224" s="6"/>
      <c r="E224" s="12" t="str">
        <f ca="1">$E$25</f>
        <v>Historical (Half-Years):</v>
      </c>
      <c r="F224" s="14"/>
      <c r="G224" s="14"/>
      <c r="H224" s="14"/>
      <c r="I224" s="14"/>
      <c r="J224" s="14"/>
      <c r="K224" s="14"/>
      <c r="L224" s="412"/>
      <c r="M224" s="14"/>
      <c r="N224" s="14"/>
      <c r="O224" s="12"/>
      <c r="P224" s="15"/>
      <c r="Q224" s="12" t="str">
        <f>$Q$25</f>
        <v>Projected (Annual):</v>
      </c>
      <c r="R224" s="14"/>
      <c r="S224" s="30"/>
      <c r="T224" s="12" t="str">
        <f>$T$25</f>
        <v>Historical:</v>
      </c>
      <c r="U224" s="14"/>
      <c r="V224" s="15"/>
      <c r="W224" s="6"/>
      <c r="X224" s="419"/>
      <c r="Y224" s="419"/>
      <c r="Z224" s="419"/>
      <c r="AA224" s="419"/>
    </row>
    <row r="225" spans="2:27" x14ac:dyDescent="0.2">
      <c r="B225" s="7" t="s">
        <v>162</v>
      </c>
      <c r="C225" s="8"/>
      <c r="D225" s="9" t="str">
        <f>$D$5</f>
        <v>Units:</v>
      </c>
      <c r="E225" s="13">
        <f>$E$26</f>
        <v>43555</v>
      </c>
      <c r="F225" s="16">
        <f>$F$26</f>
        <v>43738</v>
      </c>
      <c r="G225" s="13">
        <f>$G$26</f>
        <v>43921</v>
      </c>
      <c r="H225" s="16">
        <f>$H$26</f>
        <v>44104</v>
      </c>
      <c r="I225" s="13">
        <f>$I$26</f>
        <v>44286</v>
      </c>
      <c r="J225" s="16">
        <f>$J$26</f>
        <v>44469</v>
      </c>
      <c r="K225" s="409">
        <f>$K$26</f>
        <v>44651</v>
      </c>
      <c r="L225" s="410">
        <f>$L$26</f>
        <v>44834</v>
      </c>
      <c r="M225" s="13">
        <f>$M$26</f>
        <v>45016</v>
      </c>
      <c r="N225" s="16">
        <f>$N$26</f>
        <v>45199</v>
      </c>
      <c r="O225" s="13">
        <f>$O$26</f>
        <v>45382</v>
      </c>
      <c r="P225" s="65">
        <f>$P$26</f>
        <v>45565</v>
      </c>
      <c r="Q225" s="37">
        <f>$Q$26</f>
        <v>45930</v>
      </c>
      <c r="R225" s="37">
        <f>$R$26</f>
        <v>46295</v>
      </c>
      <c r="S225" s="30"/>
      <c r="T225" s="37">
        <f>$T$26</f>
        <v>43738</v>
      </c>
      <c r="U225" s="37">
        <f>$U$26</f>
        <v>44104</v>
      </c>
      <c r="V225" s="37">
        <f>$V$26</f>
        <v>44469</v>
      </c>
      <c r="W225" s="67">
        <f>$W$26</f>
        <v>44834</v>
      </c>
      <c r="X225" s="37">
        <f>$X$26</f>
        <v>45199</v>
      </c>
      <c r="Y225" s="37">
        <f>$Y$26</f>
        <v>45565</v>
      </c>
      <c r="Z225" s="37">
        <f>$Z$26</f>
        <v>45930</v>
      </c>
      <c r="AA225" s="37">
        <f>$AA$26</f>
        <v>46295</v>
      </c>
    </row>
    <row r="226" spans="2:27" outlineLevel="1" x14ac:dyDescent="0.2">
      <c r="B226" s="30"/>
      <c r="C226" s="30"/>
      <c r="D226" s="30"/>
      <c r="E226" s="426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spans="2:27" outlineLevel="1" x14ac:dyDescent="0.2">
      <c r="B227" s="30"/>
      <c r="C227" s="30" t="s">
        <v>163</v>
      </c>
      <c r="D227" s="2" t="s">
        <v>35</v>
      </c>
      <c r="E227" s="432"/>
      <c r="F227" s="432">
        <f t="shared" ref="F227:P227" si="221">SUM(E97:F97)</f>
        <v>970</v>
      </c>
      <c r="G227" s="432">
        <f t="shared" si="221"/>
        <v>1075</v>
      </c>
      <c r="H227" s="432">
        <f t="shared" si="221"/>
        <v>-358</v>
      </c>
      <c r="I227" s="432">
        <f t="shared" si="221"/>
        <v>-831</v>
      </c>
      <c r="J227" s="432">
        <f t="shared" si="221"/>
        <v>-425</v>
      </c>
      <c r="K227" s="432">
        <f t="shared" si="221"/>
        <v>-262</v>
      </c>
      <c r="L227" s="432">
        <f t="shared" si="221"/>
        <v>222.94449999999983</v>
      </c>
      <c r="M227" s="432">
        <f t="shared" si="221"/>
        <v>406.26308699999947</v>
      </c>
      <c r="N227" s="432">
        <f t="shared" si="221"/>
        <v>701.426186999999</v>
      </c>
      <c r="O227" s="432">
        <f t="shared" si="221"/>
        <v>728.73921119999898</v>
      </c>
      <c r="P227" s="432">
        <f t="shared" si="221"/>
        <v>978.69196319999878</v>
      </c>
      <c r="Q227" s="432">
        <f>Q97</f>
        <v>1169.091689062501</v>
      </c>
      <c r="R227" s="432">
        <f>R97</f>
        <v>1435.1909167968738</v>
      </c>
      <c r="S227" s="30"/>
      <c r="T227" s="432">
        <f t="shared" ref="T227:AA227" si="222">T97</f>
        <v>970</v>
      </c>
      <c r="U227" s="432">
        <f t="shared" si="222"/>
        <v>-358</v>
      </c>
      <c r="V227" s="432">
        <f t="shared" si="222"/>
        <v>-425</v>
      </c>
      <c r="W227" s="432">
        <f t="shared" si="222"/>
        <v>222.94449999999983</v>
      </c>
      <c r="X227" s="432">
        <f t="shared" si="222"/>
        <v>701.42618699999912</v>
      </c>
      <c r="Y227" s="432">
        <f t="shared" si="222"/>
        <v>978.69196319999924</v>
      </c>
      <c r="Z227" s="432">
        <f t="shared" si="222"/>
        <v>1169.091689062501</v>
      </c>
      <c r="AA227" s="432">
        <f t="shared" si="222"/>
        <v>1435.1909167968738</v>
      </c>
    </row>
    <row r="228" spans="2:27" outlineLevel="1" x14ac:dyDescent="0.2">
      <c r="B228" s="30"/>
      <c r="C228" s="30" t="s">
        <v>164</v>
      </c>
      <c r="D228" s="2" t="s">
        <v>35</v>
      </c>
      <c r="E228" s="34"/>
      <c r="F228" s="34">
        <f t="shared" ref="F228:P228" si="223">-SUM(E109:F109)</f>
        <v>60</v>
      </c>
      <c r="G228" s="34">
        <f t="shared" si="223"/>
        <v>286</v>
      </c>
      <c r="H228" s="34">
        <f t="shared" si="223"/>
        <v>491</v>
      </c>
      <c r="I228" s="34">
        <f t="shared" si="223"/>
        <v>329</v>
      </c>
      <c r="J228" s="34">
        <f t="shared" si="223"/>
        <v>209</v>
      </c>
      <c r="K228" s="34">
        <f t="shared" si="223"/>
        <v>180</v>
      </c>
      <c r="L228" s="34">
        <f t="shared" si="223"/>
        <v>113.715625</v>
      </c>
      <c r="M228" s="34">
        <f t="shared" si="223"/>
        <v>88.5625</v>
      </c>
      <c r="N228" s="34">
        <f t="shared" si="223"/>
        <v>78.908770250000003</v>
      </c>
      <c r="O228" s="34">
        <f t="shared" si="223"/>
        <v>76.577333799999991</v>
      </c>
      <c r="P228" s="34">
        <f t="shared" si="223"/>
        <v>89.223155389213929</v>
      </c>
      <c r="Q228" s="34">
        <f>-Q109</f>
        <v>83.993448461682135</v>
      </c>
      <c r="R228" s="34">
        <f>-R109</f>
        <v>122.31068324259985</v>
      </c>
      <c r="S228" s="30"/>
      <c r="T228" s="34">
        <f t="shared" ref="T228:AA229" si="224">-T109</f>
        <v>60</v>
      </c>
      <c r="U228" s="34">
        <f t="shared" si="224"/>
        <v>491</v>
      </c>
      <c r="V228" s="34">
        <f t="shared" si="224"/>
        <v>209</v>
      </c>
      <c r="W228" s="34">
        <f t="shared" si="224"/>
        <v>113.715625</v>
      </c>
      <c r="X228" s="34">
        <f t="shared" si="224"/>
        <v>78.908770250000003</v>
      </c>
      <c r="Y228" s="34">
        <f t="shared" si="224"/>
        <v>89.223155389213929</v>
      </c>
      <c r="Z228" s="34">
        <f t="shared" si="224"/>
        <v>83.993448461682135</v>
      </c>
      <c r="AA228" s="34">
        <f t="shared" si="224"/>
        <v>122.31068324259985</v>
      </c>
    </row>
    <row r="229" spans="2:27" outlineLevel="1" x14ac:dyDescent="0.2">
      <c r="B229" s="30"/>
      <c r="C229" s="30" t="s">
        <v>165</v>
      </c>
      <c r="D229" s="2" t="s">
        <v>35</v>
      </c>
      <c r="E229" s="34"/>
      <c r="F229" s="34">
        <f t="shared" ref="F229:P229" si="225">-SUM(E110:F110)</f>
        <v>36</v>
      </c>
      <c r="G229" s="34">
        <f t="shared" si="225"/>
        <v>199</v>
      </c>
      <c r="H229" s="34">
        <f t="shared" si="225"/>
        <v>374</v>
      </c>
      <c r="I229" s="34">
        <f t="shared" si="225"/>
        <v>238</v>
      </c>
      <c r="J229" s="34">
        <f t="shared" si="225"/>
        <v>126</v>
      </c>
      <c r="K229" s="34">
        <f t="shared" si="225"/>
        <v>140</v>
      </c>
      <c r="L229" s="34">
        <f t="shared" si="225"/>
        <v>83.809375000000003</v>
      </c>
      <c r="M229" s="34">
        <f t="shared" si="225"/>
        <v>31.532026769190125</v>
      </c>
      <c r="N229" s="34">
        <f t="shared" si="225"/>
        <v>2.406774515910314</v>
      </c>
      <c r="O229" s="34">
        <f t="shared" si="225"/>
        <v>-8.9870025834735756</v>
      </c>
      <c r="P229" s="34">
        <f t="shared" si="225"/>
        <v>13.028474267020172</v>
      </c>
      <c r="Q229" s="34">
        <f>-Q110</f>
        <v>29.837695474082139</v>
      </c>
      <c r="R229" s="34">
        <f>-R110</f>
        <v>67.128173234787354</v>
      </c>
      <c r="S229" s="30"/>
      <c r="T229" s="34">
        <f t="shared" si="224"/>
        <v>36</v>
      </c>
      <c r="U229" s="34">
        <f t="shared" si="224"/>
        <v>374</v>
      </c>
      <c r="V229" s="34">
        <f t="shared" si="224"/>
        <v>126</v>
      </c>
      <c r="W229" s="34">
        <f t="shared" si="224"/>
        <v>83.809375000000003</v>
      </c>
      <c r="X229" s="34">
        <f t="shared" si="224"/>
        <v>2.406774515910314</v>
      </c>
      <c r="Y229" s="34">
        <f t="shared" si="224"/>
        <v>13.028474267020158</v>
      </c>
      <c r="Z229" s="34">
        <f t="shared" si="224"/>
        <v>29.837695474082139</v>
      </c>
      <c r="AA229" s="34">
        <f t="shared" si="224"/>
        <v>67.128173234787354</v>
      </c>
    </row>
    <row r="230" spans="2:27" outlineLevel="1" x14ac:dyDescent="0.2">
      <c r="B230" s="30"/>
      <c r="C230" s="30"/>
      <c r="D230" s="30"/>
      <c r="E230" s="426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spans="2:27" outlineLevel="1" x14ac:dyDescent="0.2">
      <c r="B231" s="30"/>
      <c r="C231" s="30" t="s">
        <v>166</v>
      </c>
      <c r="D231" s="2" t="s">
        <v>35</v>
      </c>
      <c r="E231" s="34">
        <f t="shared" ref="E231:R231" si="226">E131+E130</f>
        <v>1481</v>
      </c>
      <c r="F231" s="34">
        <f t="shared" si="226"/>
        <v>1902</v>
      </c>
      <c r="G231" s="34">
        <f t="shared" si="226"/>
        <v>1855</v>
      </c>
      <c r="H231" s="34">
        <f t="shared" si="226"/>
        <v>3441</v>
      </c>
      <c r="I231" s="34">
        <f t="shared" si="226"/>
        <v>4350</v>
      </c>
      <c r="J231" s="34">
        <f t="shared" si="226"/>
        <v>4446</v>
      </c>
      <c r="K231" s="34">
        <f t="shared" si="226"/>
        <v>4101</v>
      </c>
      <c r="L231" s="34">
        <f t="shared" si="226"/>
        <v>3316</v>
      </c>
      <c r="M231" s="34">
        <f t="shared" si="226"/>
        <v>2960.0009</v>
      </c>
      <c r="N231" s="34">
        <f t="shared" si="226"/>
        <v>2980.1583799999999</v>
      </c>
      <c r="O231" s="34">
        <f t="shared" si="226"/>
        <v>3366.7681359550825</v>
      </c>
      <c r="P231" s="34">
        <f t="shared" si="226"/>
        <v>2879.3030188209887</v>
      </c>
      <c r="Q231" s="34">
        <f t="shared" si="226"/>
        <v>3278.4644149199949</v>
      </c>
      <c r="R231" s="34">
        <f t="shared" si="226"/>
        <v>3795.3360908713948</v>
      </c>
      <c r="S231" s="30"/>
      <c r="T231" s="34">
        <f t="shared" ref="T231:AA231" si="227">T131+T130</f>
        <v>1902</v>
      </c>
      <c r="U231" s="34">
        <f t="shared" si="227"/>
        <v>3441</v>
      </c>
      <c r="V231" s="34">
        <f t="shared" si="227"/>
        <v>4446</v>
      </c>
      <c r="W231" s="34">
        <f t="shared" si="227"/>
        <v>3316</v>
      </c>
      <c r="X231" s="34">
        <f t="shared" si="227"/>
        <v>2980.1583799999999</v>
      </c>
      <c r="Y231" s="34">
        <f t="shared" si="227"/>
        <v>2879.3030188209887</v>
      </c>
      <c r="Z231" s="34">
        <f t="shared" si="227"/>
        <v>3278.4644149199949</v>
      </c>
      <c r="AA231" s="34">
        <f t="shared" si="227"/>
        <v>3795.3360908713948</v>
      </c>
    </row>
    <row r="232" spans="2:27" outlineLevel="1" x14ac:dyDescent="0.2">
      <c r="B232" s="30"/>
      <c r="C232" s="30" t="s">
        <v>167</v>
      </c>
      <c r="D232" s="2" t="s">
        <v>35</v>
      </c>
      <c r="E232" s="34">
        <f t="shared" ref="E232:R232" si="228">E231-E119</f>
        <v>201</v>
      </c>
      <c r="F232" s="34">
        <f t="shared" si="228"/>
        <v>326</v>
      </c>
      <c r="G232" s="34">
        <f t="shared" si="228"/>
        <v>467</v>
      </c>
      <c r="H232" s="34">
        <f t="shared" si="228"/>
        <v>1125</v>
      </c>
      <c r="I232" s="34">
        <f t="shared" si="228"/>
        <v>2015</v>
      </c>
      <c r="J232" s="34">
        <f t="shared" si="228"/>
        <v>910</v>
      </c>
      <c r="K232" s="34">
        <f t="shared" si="228"/>
        <v>596</v>
      </c>
      <c r="L232" s="34">
        <f t="shared" si="228"/>
        <v>-196.4223230809871</v>
      </c>
      <c r="M232" s="34">
        <f t="shared" si="228"/>
        <v>201.48273311467938</v>
      </c>
      <c r="N232" s="34">
        <f t="shared" si="228"/>
        <v>34.387454653748591</v>
      </c>
      <c r="O232" s="34">
        <f t="shared" si="228"/>
        <v>1232.8936531550826</v>
      </c>
      <c r="P232" s="34">
        <f t="shared" si="228"/>
        <v>910.00291018098892</v>
      </c>
      <c r="Q232" s="34">
        <f t="shared" si="228"/>
        <v>1071.1640146074951</v>
      </c>
      <c r="R232" s="34">
        <f t="shared" si="228"/>
        <v>1326.2018056370202</v>
      </c>
      <c r="S232" s="30"/>
      <c r="T232" s="34">
        <f t="shared" ref="T232:AA232" si="229">T231-T119</f>
        <v>326</v>
      </c>
      <c r="U232" s="34">
        <f t="shared" si="229"/>
        <v>1125</v>
      </c>
      <c r="V232" s="34">
        <f t="shared" si="229"/>
        <v>910</v>
      </c>
      <c r="W232" s="34">
        <f t="shared" si="229"/>
        <v>-196.4223230809871</v>
      </c>
      <c r="X232" s="34">
        <f t="shared" si="229"/>
        <v>34.387454653748591</v>
      </c>
      <c r="Y232" s="34">
        <f t="shared" si="229"/>
        <v>910.00291018098892</v>
      </c>
      <c r="Z232" s="34">
        <f t="shared" si="229"/>
        <v>1071.1640146074951</v>
      </c>
      <c r="AA232" s="34">
        <f t="shared" si="229"/>
        <v>1326.2018056370202</v>
      </c>
    </row>
    <row r="233" spans="2:27" outlineLevel="1" x14ac:dyDescent="0.2">
      <c r="B233" s="30"/>
      <c r="C233" s="30" t="s">
        <v>168</v>
      </c>
      <c r="D233" s="2" t="s">
        <v>35</v>
      </c>
      <c r="E233" s="34">
        <f t="shared" ref="E233:R233" si="230">E130+E131+E134-E119</f>
        <v>2717</v>
      </c>
      <c r="F233" s="34">
        <f t="shared" si="230"/>
        <v>3311</v>
      </c>
      <c r="G233" s="34">
        <f t="shared" si="230"/>
        <v>2559</v>
      </c>
      <c r="H233" s="34">
        <f t="shared" si="230"/>
        <v>3024</v>
      </c>
      <c r="I233" s="34">
        <f t="shared" si="230"/>
        <v>3597</v>
      </c>
      <c r="J233" s="34">
        <f t="shared" si="230"/>
        <v>3549</v>
      </c>
      <c r="K233" s="34">
        <f t="shared" si="230"/>
        <v>3036</v>
      </c>
      <c r="L233" s="34">
        <f t="shared" si="230"/>
        <v>2368.6029192499996</v>
      </c>
      <c r="M233" s="34">
        <f t="shared" si="230"/>
        <v>2554.5655877661461</v>
      </c>
      <c r="N233" s="34">
        <f t="shared" si="230"/>
        <v>2778.5516030828262</v>
      </c>
      <c r="O233" s="34">
        <f t="shared" si="230"/>
        <v>3736.3422367822786</v>
      </c>
      <c r="P233" s="34">
        <f t="shared" si="230"/>
        <v>3962.0115310295814</v>
      </c>
      <c r="Q233" s="34">
        <f t="shared" si="230"/>
        <v>4408.8765268531015</v>
      </c>
      <c r="R233" s="34">
        <f t="shared" si="230"/>
        <v>5015.9044637242969</v>
      </c>
      <c r="S233" s="30"/>
      <c r="T233" s="34">
        <f t="shared" ref="T233:AA233" si="231">T130+T131+T134-T119</f>
        <v>3311</v>
      </c>
      <c r="U233" s="34">
        <f t="shared" si="231"/>
        <v>3024</v>
      </c>
      <c r="V233" s="34">
        <f t="shared" si="231"/>
        <v>3549</v>
      </c>
      <c r="W233" s="34">
        <f t="shared" si="231"/>
        <v>2368.6029192499996</v>
      </c>
      <c r="X233" s="34">
        <f t="shared" si="231"/>
        <v>2778.5516030828262</v>
      </c>
      <c r="Y233" s="34">
        <f t="shared" si="231"/>
        <v>3962.0115310295814</v>
      </c>
      <c r="Z233" s="34">
        <f t="shared" si="231"/>
        <v>4408.8765268531015</v>
      </c>
      <c r="AA233" s="34">
        <f t="shared" si="231"/>
        <v>5015.9044637242969</v>
      </c>
    </row>
    <row r="234" spans="2:27" outlineLevel="1" x14ac:dyDescent="0.2">
      <c r="B234" s="30"/>
      <c r="C234" s="30"/>
      <c r="D234" s="30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0"/>
      <c r="T234" s="34"/>
      <c r="U234" s="34"/>
      <c r="V234" s="34"/>
      <c r="W234" s="34"/>
      <c r="X234" s="34"/>
      <c r="Y234" s="34"/>
      <c r="Z234" s="34"/>
      <c r="AA234" s="34"/>
    </row>
    <row r="235" spans="2:27" outlineLevel="1" x14ac:dyDescent="0.2">
      <c r="B235" s="30"/>
      <c r="C235" s="30" t="s">
        <v>169</v>
      </c>
      <c r="D235" s="2" t="s">
        <v>13</v>
      </c>
      <c r="E235" s="34">
        <f t="shared" ref="E235:R235" si="232">E105*(1-E61)</f>
        <v>-204.375</v>
      </c>
      <c r="F235" s="34">
        <f t="shared" si="232"/>
        <v>582.34615384615381</v>
      </c>
      <c r="G235" s="34">
        <f t="shared" si="232"/>
        <v>-158.78753541076486</v>
      </c>
      <c r="H235" s="34">
        <f t="shared" si="232"/>
        <v>-595.79347826086951</v>
      </c>
      <c r="I235" s="34">
        <f t="shared" si="232"/>
        <v>-511.54883720930235</v>
      </c>
      <c r="J235" s="34">
        <f t="shared" si="232"/>
        <v>-244.19693094629153</v>
      </c>
      <c r="K235" s="34">
        <f t="shared" si="232"/>
        <v>-386.12028725314184</v>
      </c>
      <c r="L235" s="34">
        <f t="shared" si="232"/>
        <v>114.68166299999984</v>
      </c>
      <c r="M235" s="34">
        <f t="shared" si="232"/>
        <v>-236.59367193000031</v>
      </c>
      <c r="N235" s="34">
        <f t="shared" si="232"/>
        <v>337.63778999999954</v>
      </c>
      <c r="O235" s="34">
        <f t="shared" si="232"/>
        <v>-219.46422960000029</v>
      </c>
      <c r="P235" s="34">
        <f t="shared" si="232"/>
        <v>504.18896849999942</v>
      </c>
      <c r="Q235" s="34">
        <f t="shared" si="232"/>
        <v>376.61038242187595</v>
      </c>
      <c r="R235" s="34">
        <f t="shared" si="232"/>
        <v>513.65875517578047</v>
      </c>
      <c r="S235" s="30"/>
      <c r="T235" s="34">
        <f t="shared" ref="T235:AA235" si="233">T105*(1-T61)</f>
        <v>378.21860465116282</v>
      </c>
      <c r="U235" s="34">
        <f t="shared" si="233"/>
        <v>-761.99607227022784</v>
      </c>
      <c r="V235" s="34">
        <f t="shared" si="233"/>
        <v>-753.64864864864865</v>
      </c>
      <c r="W235" s="34">
        <f t="shared" si="233"/>
        <v>-273.16955042621612</v>
      </c>
      <c r="X235" s="34">
        <f t="shared" si="233"/>
        <v>100.4245220912765</v>
      </c>
      <c r="Y235" s="34">
        <f t="shared" si="233"/>
        <v>284.72473889999964</v>
      </c>
      <c r="Z235" s="34">
        <f t="shared" si="233"/>
        <v>376.61038242187595</v>
      </c>
      <c r="AA235" s="34">
        <f t="shared" si="233"/>
        <v>513.65875517578047</v>
      </c>
    </row>
    <row r="236" spans="2:27" outlineLevel="1" x14ac:dyDescent="0.2">
      <c r="B236" s="30"/>
      <c r="C236" s="30" t="s">
        <v>170</v>
      </c>
      <c r="D236" s="2" t="s">
        <v>13</v>
      </c>
      <c r="E236" s="426"/>
      <c r="F236" s="427">
        <f>F235/AVERAGE(E233,F233)</f>
        <v>0.19321372058598335</v>
      </c>
      <c r="G236" s="427">
        <f t="shared" ref="G236:P236" si="234">G235/AVERAGE(F233,G233)</f>
        <v>-5.4101374927006764E-2</v>
      </c>
      <c r="H236" s="427">
        <f t="shared" si="234"/>
        <v>-0.21343130154428425</v>
      </c>
      <c r="I236" s="427">
        <f t="shared" si="234"/>
        <v>-0.15452313463504072</v>
      </c>
      <c r="J236" s="427">
        <f t="shared" si="234"/>
        <v>-6.8345068834674366E-2</v>
      </c>
      <c r="K236" s="427">
        <f t="shared" si="234"/>
        <v>-0.11727267646260951</v>
      </c>
      <c r="L236" s="427">
        <f t="shared" si="234"/>
        <v>4.2438515729445785E-2</v>
      </c>
      <c r="M236" s="427">
        <f t="shared" si="234"/>
        <v>-9.6114391206729585E-2</v>
      </c>
      <c r="N236" s="427">
        <f t="shared" si="234"/>
        <v>0.12661930271449798</v>
      </c>
      <c r="O236" s="427">
        <f t="shared" si="234"/>
        <v>-6.7373079283988599E-2</v>
      </c>
      <c r="P236" s="427">
        <f t="shared" si="234"/>
        <v>0.13098617800810872</v>
      </c>
      <c r="Q236" s="427">
        <f t="shared" ref="Q236" si="235">Q235/AVERAGE(P233,Q233)</f>
        <v>8.9980986441989305E-2</v>
      </c>
      <c r="R236" s="427">
        <f t="shared" ref="R236" si="236">R235/AVERAGE(Q233,R233)</f>
        <v>0.10900173822379969</v>
      </c>
      <c r="S236" s="30"/>
      <c r="T236" s="427"/>
      <c r="U236" s="427">
        <f t="shared" ref="U236" si="237">U235/AVERAGE(T233,U233)</f>
        <v>-0.24056703149809877</v>
      </c>
      <c r="V236" s="427">
        <f t="shared" ref="V236" si="238">V235/AVERAGE(U233,V233)</f>
        <v>-0.22931649129732196</v>
      </c>
      <c r="W236" s="427">
        <f t="shared" ref="W236" si="239">W235/AVERAGE(V233,W233)</f>
        <v>-9.2324393560640539E-2</v>
      </c>
      <c r="X236" s="427">
        <f t="shared" ref="X236" si="240">X235/AVERAGE(W233,X233)</f>
        <v>3.9021374491691567E-2</v>
      </c>
      <c r="Y236" s="427">
        <f t="shared" ref="Y236" si="241">Y235/AVERAGE(X233,Y233)</f>
        <v>8.4480994609804794E-2</v>
      </c>
      <c r="Z236" s="427">
        <f t="shared" ref="Z236" si="242">Z235/AVERAGE(Y233,Z233)</f>
        <v>8.9980986441989305E-2</v>
      </c>
      <c r="AA236" s="427">
        <f t="shared" ref="AA236" si="243">AA235/AVERAGE(Z233,AA233)</f>
        <v>0.10900173822379969</v>
      </c>
    </row>
    <row r="237" spans="2:27" outlineLevel="1" x14ac:dyDescent="0.2">
      <c r="B237" s="30"/>
      <c r="C237" s="30"/>
      <c r="D237" s="30"/>
      <c r="E237" s="426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spans="2:27" outlineLevel="1" x14ac:dyDescent="0.2">
      <c r="B238" s="30"/>
      <c r="C238" s="30" t="s">
        <v>171</v>
      </c>
      <c r="D238" s="2" t="s">
        <v>13</v>
      </c>
      <c r="E238" s="427"/>
      <c r="F238" s="427"/>
      <c r="G238" s="427">
        <f t="shared" ref="G238:P238" si="244">G94/E94-1</f>
        <v>1.6645326504481472E-2</v>
      </c>
      <c r="H238" s="427">
        <f t="shared" si="244"/>
        <v>-0.84487877288471047</v>
      </c>
      <c r="I238" s="427">
        <f t="shared" si="244"/>
        <v>-0.89924433249370272</v>
      </c>
      <c r="J238" s="427">
        <f t="shared" si="244"/>
        <v>0.94258373205741619</v>
      </c>
      <c r="K238" s="427">
        <f t="shared" si="244"/>
        <v>5.2416666666666663</v>
      </c>
      <c r="L238" s="427">
        <f t="shared" si="244"/>
        <v>1.1770677339901474</v>
      </c>
      <c r="M238" s="427">
        <f t="shared" si="244"/>
        <v>0.51936271495327091</v>
      </c>
      <c r="N238" s="427">
        <f t="shared" si="244"/>
        <v>0.43674208144796367</v>
      </c>
      <c r="O238" s="427">
        <f t="shared" si="244"/>
        <v>0.19759569756406203</v>
      </c>
      <c r="P238" s="427">
        <f t="shared" si="244"/>
        <v>0.21287477954144585</v>
      </c>
      <c r="Q238" s="427">
        <f>Q94/SUM(O94:P94)-1</f>
        <v>0.1619820826752647</v>
      </c>
      <c r="R238" s="427">
        <f>R94/Q94-1</f>
        <v>0.15336134453781503</v>
      </c>
      <c r="S238" s="30"/>
      <c r="T238" s="427"/>
      <c r="U238" s="427">
        <f t="shared" ref="U238:AA238" si="245">U94/T94-1</f>
        <v>-0.5287392325763508</v>
      </c>
      <c r="V238" s="427">
        <f t="shared" si="245"/>
        <v>-0.51545363908275177</v>
      </c>
      <c r="W238" s="427">
        <f t="shared" si="245"/>
        <v>1.8461375171467762</v>
      </c>
      <c r="X238" s="427">
        <f t="shared" si="245"/>
        <v>0.46656752629758258</v>
      </c>
      <c r="Y238" s="427">
        <f t="shared" si="245"/>
        <v>0.20716058436004392</v>
      </c>
      <c r="Z238" s="427">
        <f t="shared" si="245"/>
        <v>0.1619820826752647</v>
      </c>
      <c r="AA238" s="427">
        <f t="shared" si="245"/>
        <v>0.15336134453781503</v>
      </c>
    </row>
    <row r="239" spans="2:27" outlineLevel="1" x14ac:dyDescent="0.2">
      <c r="B239" s="30"/>
      <c r="C239" s="30" t="s">
        <v>172</v>
      </c>
      <c r="D239" s="2" t="s">
        <v>13</v>
      </c>
      <c r="E239" s="427">
        <f t="shared" ref="E239:R239" si="246">E105/E94</f>
        <v>-0.1088348271446863</v>
      </c>
      <c r="F239" s="427">
        <f t="shared" si="246"/>
        <v>0.17837704106877783</v>
      </c>
      <c r="G239" s="427">
        <f t="shared" si="246"/>
        <v>-7.2628043660789246E-2</v>
      </c>
      <c r="H239" s="427">
        <f t="shared" si="246"/>
        <v>-1.1578947368421053</v>
      </c>
      <c r="I239" s="427">
        <f t="shared" si="246"/>
        <v>-2.5041666666666669</v>
      </c>
      <c r="J239" s="427">
        <f t="shared" si="246"/>
        <v>-0.2536945812807882</v>
      </c>
      <c r="K239" s="427">
        <f t="shared" si="246"/>
        <v>-0.33311081441922563</v>
      </c>
      <c r="L239" s="427">
        <f t="shared" si="246"/>
        <v>5.3393665158370969E-2</v>
      </c>
      <c r="M239" s="427">
        <f t="shared" si="246"/>
        <v>-0.12833491511125189</v>
      </c>
      <c r="N239" s="427">
        <f t="shared" si="246"/>
        <v>0.11816578483245137</v>
      </c>
      <c r="O239" s="427">
        <f t="shared" si="246"/>
        <v>-0.10735418427726136</v>
      </c>
      <c r="P239" s="427">
        <f t="shared" si="246"/>
        <v>0.14548494983277582</v>
      </c>
      <c r="Q239" s="427">
        <f t="shared" si="246"/>
        <v>5.8823529411764872E-2</v>
      </c>
      <c r="R239" s="427">
        <f t="shared" si="246"/>
        <v>6.9561364643331777E-2</v>
      </c>
      <c r="S239" s="30"/>
      <c r="T239" s="427">
        <f t="shared" ref="T239:AA239" si="247">T105/T94</f>
        <v>7.298355520751762E-2</v>
      </c>
      <c r="U239" s="427">
        <f t="shared" si="247"/>
        <v>-0.29877035559986709</v>
      </c>
      <c r="V239" s="427">
        <f t="shared" si="247"/>
        <v>-0.62414266117969819</v>
      </c>
      <c r="W239" s="427">
        <f t="shared" si="247"/>
        <v>-8.6131627140818651E-2</v>
      </c>
      <c r="X239" s="427">
        <f t="shared" si="247"/>
        <v>2.5977450879175662E-2</v>
      </c>
      <c r="Y239" s="427">
        <f t="shared" si="247"/>
        <v>5.1675349776076969E-2</v>
      </c>
      <c r="Z239" s="427">
        <f t="shared" si="247"/>
        <v>5.8823529411764872E-2</v>
      </c>
      <c r="AA239" s="427">
        <f t="shared" si="247"/>
        <v>6.9561364643331777E-2</v>
      </c>
    </row>
    <row r="240" spans="2:27" outlineLevel="1" x14ac:dyDescent="0.2">
      <c r="B240" s="30"/>
      <c r="C240" s="30" t="s">
        <v>173</v>
      </c>
      <c r="D240" s="2" t="s">
        <v>13</v>
      </c>
      <c r="E240" s="427">
        <f t="shared" ref="E240:R240" si="248">E97/E94</f>
        <v>-6.8288518992744348E-3</v>
      </c>
      <c r="F240" s="427">
        <f t="shared" si="248"/>
        <v>0.24393864423552697</v>
      </c>
      <c r="G240" s="427">
        <f t="shared" si="248"/>
        <v>3.7363560033585222E-2</v>
      </c>
      <c r="H240" s="427">
        <f t="shared" si="248"/>
        <v>-0.71291866028708128</v>
      </c>
      <c r="I240" s="427">
        <f t="shared" si="248"/>
        <v>-1.6</v>
      </c>
      <c r="J240" s="427">
        <f t="shared" si="248"/>
        <v>-3.3661740558292283E-2</v>
      </c>
      <c r="K240" s="427">
        <f t="shared" si="248"/>
        <v>-0.14753004005340453</v>
      </c>
      <c r="L240" s="427">
        <f t="shared" si="248"/>
        <v>0.16742081447963797</v>
      </c>
      <c r="M240" s="427">
        <f t="shared" si="248"/>
        <v>-1.6555942212380208E-2</v>
      </c>
      <c r="N240" s="427">
        <f t="shared" si="248"/>
        <v>0.19400352733686052</v>
      </c>
      <c r="O240" s="427">
        <f t="shared" si="248"/>
        <v>-3.8038884192731779E-3</v>
      </c>
      <c r="P240" s="427">
        <f t="shared" si="248"/>
        <v>0.2140468227424748</v>
      </c>
      <c r="Q240" s="427">
        <f t="shared" si="248"/>
        <v>0.13695207812854887</v>
      </c>
      <c r="R240" s="427">
        <f t="shared" si="248"/>
        <v>0.14576871953921128</v>
      </c>
      <c r="S240" s="30"/>
      <c r="T240" s="427">
        <f t="shared" ref="T240:AA240" si="249">T97/T94</f>
        <v>0.15191855912294441</v>
      </c>
      <c r="U240" s="427">
        <f t="shared" si="249"/>
        <v>-0.11897640412097042</v>
      </c>
      <c r="V240" s="427">
        <f t="shared" si="249"/>
        <v>-0.29149519890260633</v>
      </c>
      <c r="W240" s="427">
        <f t="shared" si="249"/>
        <v>5.3725857860694136E-2</v>
      </c>
      <c r="X240" s="427">
        <f t="shared" si="249"/>
        <v>0.115256786657166</v>
      </c>
      <c r="Y240" s="427">
        <f t="shared" si="249"/>
        <v>0.13321879681964868</v>
      </c>
      <c r="Z240" s="427">
        <f t="shared" si="249"/>
        <v>0.13695207812854887</v>
      </c>
      <c r="AA240" s="427">
        <f t="shared" si="249"/>
        <v>0.14576871953921128</v>
      </c>
    </row>
    <row r="241" spans="3:27" outlineLevel="1" x14ac:dyDescent="0.2">
      <c r="C241" s="30" t="s">
        <v>174</v>
      </c>
      <c r="D241" s="2" t="s">
        <v>13</v>
      </c>
      <c r="E241" s="427">
        <f t="shared" ref="E241:R241" si="250">E114/E94</f>
        <v>-9.3043107127614169E-2</v>
      </c>
      <c r="F241" s="427">
        <f t="shared" si="250"/>
        <v>0.14027709054923304</v>
      </c>
      <c r="G241" s="427">
        <f t="shared" si="250"/>
        <v>-0.13602015113350127</v>
      </c>
      <c r="H241" s="427">
        <f t="shared" si="250"/>
        <v>-1.20414673046252</v>
      </c>
      <c r="I241" s="427">
        <f t="shared" si="250"/>
        <v>-2.2875000000000001</v>
      </c>
      <c r="J241" s="427">
        <f t="shared" si="250"/>
        <v>-0.2536945812807882</v>
      </c>
      <c r="K241" s="427">
        <f t="shared" si="250"/>
        <v>-0.28771695594125501</v>
      </c>
      <c r="L241" s="427">
        <f t="shared" si="250"/>
        <v>3.5364929383141161E-2</v>
      </c>
      <c r="M241" s="427">
        <f t="shared" si="250"/>
        <v>-0.10598789681272411</v>
      </c>
      <c r="N241" s="427">
        <f t="shared" si="250"/>
        <v>8.9277110849267968E-2</v>
      </c>
      <c r="O241" s="427">
        <f t="shared" si="250"/>
        <v>-7.8955198462879017E-2</v>
      </c>
      <c r="P241" s="427">
        <f t="shared" si="250"/>
        <v>0.10607856653723757</v>
      </c>
      <c r="Q241" s="427">
        <f t="shared" si="250"/>
        <v>4.1496166784881758E-2</v>
      </c>
      <c r="R241" s="427">
        <f t="shared" si="250"/>
        <v>4.7057494120523589E-2</v>
      </c>
      <c r="S241" s="30"/>
      <c r="T241" s="427">
        <f t="shared" ref="T241:AA241" si="251">T114/T94</f>
        <v>5.4659357870007828E-2</v>
      </c>
      <c r="U241" s="427">
        <f t="shared" si="251"/>
        <v>-0.35859089398471256</v>
      </c>
      <c r="V241" s="427">
        <f t="shared" si="251"/>
        <v>-0.58847736625514402</v>
      </c>
      <c r="W241" s="427">
        <f t="shared" si="251"/>
        <v>-8.126526992457353E-2</v>
      </c>
      <c r="X241" s="427">
        <f t="shared" si="251"/>
        <v>1.625031725458919E-2</v>
      </c>
      <c r="Y241" s="427">
        <f t="shared" si="251"/>
        <v>3.7426442914270851E-2</v>
      </c>
      <c r="Z241" s="427">
        <f t="shared" si="251"/>
        <v>4.1496166784881758E-2</v>
      </c>
      <c r="AA241" s="427">
        <f t="shared" si="251"/>
        <v>4.7057494120523589E-2</v>
      </c>
    </row>
    <row r="242" spans="3:27" outlineLevel="1" x14ac:dyDescent="0.2"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spans="3:27" outlineLevel="1" x14ac:dyDescent="0.2">
      <c r="C243" s="30" t="s">
        <v>175</v>
      </c>
      <c r="D243" s="2" t="s">
        <v>17</v>
      </c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89"/>
      <c r="Z243" s="389">
        <f>Max_Debt_EBITDAR</f>
        <v>0</v>
      </c>
      <c r="AA243" s="389">
        <f>Max_Debt_EBITDAR</f>
        <v>0</v>
      </c>
    </row>
    <row r="244" spans="3:27" outlineLevel="1" x14ac:dyDescent="0.2">
      <c r="C244" s="30" t="s">
        <v>176</v>
      </c>
      <c r="D244" s="2" t="s">
        <v>17</v>
      </c>
      <c r="E244" s="437"/>
      <c r="F244" s="437">
        <f>F231/F227</f>
        <v>1.9608247422680412</v>
      </c>
      <c r="G244" s="437">
        <f t="shared" ref="G244:P244" si="252">G231/G227</f>
        <v>1.7255813953488373</v>
      </c>
      <c r="H244" s="437">
        <f t="shared" si="252"/>
        <v>-9.6117318435754182</v>
      </c>
      <c r="I244" s="437">
        <f t="shared" si="252"/>
        <v>-5.2346570397111911</v>
      </c>
      <c r="J244" s="437">
        <f t="shared" si="252"/>
        <v>-10.461176470588235</v>
      </c>
      <c r="K244" s="437">
        <f t="shared" si="252"/>
        <v>-15.652671755725191</v>
      </c>
      <c r="L244" s="437">
        <f t="shared" si="252"/>
        <v>14.873656896671605</v>
      </c>
      <c r="M244" s="437">
        <f t="shared" si="252"/>
        <v>7.2859213517471346</v>
      </c>
      <c r="N244" s="437">
        <f t="shared" si="252"/>
        <v>4.2487127444530444</v>
      </c>
      <c r="O244" s="437">
        <f t="shared" si="252"/>
        <v>4.6199903672139433</v>
      </c>
      <c r="P244" s="437">
        <f t="shared" si="252"/>
        <v>2.9419910728669119</v>
      </c>
      <c r="Q244" s="437">
        <f t="shared" ref="Q244:R244" si="253">Q231/Q227</f>
        <v>2.8042833984638174</v>
      </c>
      <c r="R244" s="437">
        <f t="shared" si="253"/>
        <v>2.6444816828565245</v>
      </c>
      <c r="S244" s="30"/>
      <c r="T244" s="437">
        <f t="shared" ref="T244:AA244" si="254">T231/T227</f>
        <v>1.9608247422680412</v>
      </c>
      <c r="U244" s="437">
        <f t="shared" si="254"/>
        <v>-9.6117318435754182</v>
      </c>
      <c r="V244" s="437">
        <f t="shared" si="254"/>
        <v>-10.461176470588235</v>
      </c>
      <c r="W244" s="437">
        <f t="shared" si="254"/>
        <v>14.873656896671605</v>
      </c>
      <c r="X244" s="437">
        <f t="shared" si="254"/>
        <v>4.2487127444530435</v>
      </c>
      <c r="Y244" s="437">
        <f t="shared" si="254"/>
        <v>2.9419910728669105</v>
      </c>
      <c r="Z244" s="437">
        <f t="shared" si="254"/>
        <v>2.8042833984638174</v>
      </c>
      <c r="AA244" s="437">
        <f t="shared" si="254"/>
        <v>2.6444816828565245</v>
      </c>
    </row>
    <row r="245" spans="3:27" outlineLevel="1" x14ac:dyDescent="0.2">
      <c r="C245" s="30" t="s">
        <v>177</v>
      </c>
      <c r="D245" s="2" t="s">
        <v>17</v>
      </c>
      <c r="E245" s="437"/>
      <c r="F245" s="437">
        <f>F232/F227</f>
        <v>0.33608247422680415</v>
      </c>
      <c r="G245" s="437">
        <f t="shared" ref="G245:P245" si="255">G232/G227</f>
        <v>0.43441860465116278</v>
      </c>
      <c r="H245" s="437">
        <f t="shared" si="255"/>
        <v>-3.1424581005586592</v>
      </c>
      <c r="I245" s="437">
        <f t="shared" si="255"/>
        <v>-2.4247894103489771</v>
      </c>
      <c r="J245" s="437">
        <f t="shared" si="255"/>
        <v>-2.1411764705882352</v>
      </c>
      <c r="K245" s="437">
        <f t="shared" si="255"/>
        <v>-2.2748091603053435</v>
      </c>
      <c r="L245" s="437">
        <f t="shared" si="255"/>
        <v>-0.88103686379788348</v>
      </c>
      <c r="M245" s="437">
        <f t="shared" si="255"/>
        <v>0.49594152056123092</v>
      </c>
      <c r="N245" s="437">
        <f t="shared" si="255"/>
        <v>4.9025051090299025E-2</v>
      </c>
      <c r="O245" s="437">
        <f t="shared" si="255"/>
        <v>1.69181736649645</v>
      </c>
      <c r="P245" s="437">
        <f t="shared" si="255"/>
        <v>0.92981545205049054</v>
      </c>
      <c r="Q245" s="437">
        <f t="shared" ref="Q245:R245" si="256">Q232/Q227</f>
        <v>0.9162361041728605</v>
      </c>
      <c r="R245" s="437">
        <f t="shared" si="256"/>
        <v>0.92405950324497554</v>
      </c>
      <c r="S245" s="30"/>
      <c r="T245" s="437">
        <f t="shared" ref="T245:AA245" si="257">T232/T227</f>
        <v>0.33608247422680415</v>
      </c>
      <c r="U245" s="437">
        <f t="shared" si="257"/>
        <v>-3.1424581005586592</v>
      </c>
      <c r="V245" s="437">
        <f t="shared" si="257"/>
        <v>-2.1411764705882352</v>
      </c>
      <c r="W245" s="437">
        <f t="shared" si="257"/>
        <v>-0.88103686379788348</v>
      </c>
      <c r="X245" s="437">
        <f t="shared" si="257"/>
        <v>4.9025051090299018E-2</v>
      </c>
      <c r="Y245" s="437">
        <f t="shared" si="257"/>
        <v>0.9298154520504901</v>
      </c>
      <c r="Z245" s="437">
        <f t="shared" si="257"/>
        <v>0.9162361041728605</v>
      </c>
      <c r="AA245" s="437">
        <f t="shared" si="257"/>
        <v>0.92405950324497554</v>
      </c>
    </row>
    <row r="246" spans="3:27" outlineLevel="1" x14ac:dyDescent="0.2"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spans="3:27" outlineLevel="1" x14ac:dyDescent="0.2">
      <c r="C247" s="30" t="s">
        <v>178</v>
      </c>
      <c r="D247" s="2" t="s">
        <v>17</v>
      </c>
      <c r="E247" s="437"/>
      <c r="F247" s="437">
        <f>F227/F228</f>
        <v>16.166666666666668</v>
      </c>
      <c r="G247" s="437">
        <f>G227/G228</f>
        <v>3.7587412587412588</v>
      </c>
      <c r="H247" s="437">
        <f t="shared" ref="H247:R247" si="258">H227/H228</f>
        <v>-0.72912423625254585</v>
      </c>
      <c r="I247" s="437">
        <f t="shared" si="258"/>
        <v>-2.525835866261398</v>
      </c>
      <c r="J247" s="437">
        <f t="shared" si="258"/>
        <v>-2.0334928229665072</v>
      </c>
      <c r="K247" s="437">
        <f t="shared" si="258"/>
        <v>-1.4555555555555555</v>
      </c>
      <c r="L247" s="437">
        <f t="shared" si="258"/>
        <v>1.9605441204759666</v>
      </c>
      <c r="M247" s="437">
        <f t="shared" si="258"/>
        <v>4.5873037346506642</v>
      </c>
      <c r="N247" s="437">
        <f t="shared" si="258"/>
        <v>8.8890776624414443</v>
      </c>
      <c r="O247" s="437">
        <f t="shared" si="258"/>
        <v>9.5163826557774343</v>
      </c>
      <c r="P247" s="437">
        <f t="shared" si="258"/>
        <v>10.969035548347257</v>
      </c>
      <c r="Q247" s="437">
        <f t="shared" si="258"/>
        <v>13.918843796440164</v>
      </c>
      <c r="R247" s="437">
        <f t="shared" si="258"/>
        <v>11.733978412582427</v>
      </c>
      <c r="S247" s="30"/>
      <c r="T247" s="437">
        <f t="shared" ref="T247:AA247" si="259">T227/T228</f>
        <v>16.166666666666668</v>
      </c>
      <c r="U247" s="437">
        <f t="shared" si="259"/>
        <v>-0.72912423625254585</v>
      </c>
      <c r="V247" s="437">
        <f t="shared" si="259"/>
        <v>-2.0334928229665072</v>
      </c>
      <c r="W247" s="437">
        <f t="shared" si="259"/>
        <v>1.9605441204759666</v>
      </c>
      <c r="X247" s="437">
        <f t="shared" si="259"/>
        <v>8.889077662441446</v>
      </c>
      <c r="Y247" s="437">
        <f t="shared" si="259"/>
        <v>10.969035548347263</v>
      </c>
      <c r="Z247" s="437">
        <f t="shared" si="259"/>
        <v>13.918843796440164</v>
      </c>
      <c r="AA247" s="437">
        <f t="shared" si="259"/>
        <v>11.733978412582427</v>
      </c>
    </row>
    <row r="248" spans="3:27" outlineLevel="1" x14ac:dyDescent="0.2">
      <c r="C248" s="30" t="s">
        <v>179</v>
      </c>
      <c r="D248" s="2" t="s">
        <v>17</v>
      </c>
      <c r="E248" s="437"/>
      <c r="F248" s="437">
        <f>F227/F229</f>
        <v>26.944444444444443</v>
      </c>
      <c r="G248" s="437">
        <f>G227/G229</f>
        <v>5.4020100502512562</v>
      </c>
      <c r="H248" s="437">
        <f t="shared" ref="H248:R248" si="260">H227/H229</f>
        <v>-0.95721925133689845</v>
      </c>
      <c r="I248" s="437">
        <f t="shared" si="260"/>
        <v>-3.4915966386554622</v>
      </c>
      <c r="J248" s="437">
        <f t="shared" si="260"/>
        <v>-3.373015873015873</v>
      </c>
      <c r="K248" s="437">
        <f t="shared" si="260"/>
        <v>-1.8714285714285714</v>
      </c>
      <c r="L248" s="437">
        <f t="shared" si="260"/>
        <v>2.6601379618926861</v>
      </c>
      <c r="M248" s="437">
        <f t="shared" si="260"/>
        <v>12.88414125656389</v>
      </c>
      <c r="N248" s="437">
        <f t="shared" si="260"/>
        <v>291.43826410123785</v>
      </c>
      <c r="O248" s="437">
        <f t="shared" si="260"/>
        <v>-81.088127485363785</v>
      </c>
      <c r="P248" s="437">
        <f t="shared" si="260"/>
        <v>75.119460893239477</v>
      </c>
      <c r="Q248" s="437">
        <f t="shared" si="260"/>
        <v>39.181701887064534</v>
      </c>
      <c r="R248" s="437">
        <f t="shared" si="260"/>
        <v>21.379859567713144</v>
      </c>
      <c r="S248" s="30"/>
      <c r="T248" s="437">
        <f t="shared" ref="T248:AA248" si="261">T227/T229</f>
        <v>26.944444444444443</v>
      </c>
      <c r="U248" s="437">
        <f t="shared" si="261"/>
        <v>-0.95721925133689845</v>
      </c>
      <c r="V248" s="437">
        <f t="shared" si="261"/>
        <v>-3.373015873015873</v>
      </c>
      <c r="W248" s="437">
        <f t="shared" si="261"/>
        <v>2.6601379618926861</v>
      </c>
      <c r="X248" s="437">
        <f t="shared" si="261"/>
        <v>291.43826410123791</v>
      </c>
      <c r="Y248" s="437">
        <f t="shared" si="261"/>
        <v>75.119460893239605</v>
      </c>
      <c r="Z248" s="437">
        <f t="shared" si="261"/>
        <v>39.181701887064534</v>
      </c>
      <c r="AA248" s="437">
        <f t="shared" si="261"/>
        <v>21.379859567713144</v>
      </c>
    </row>
    <row r="249" spans="3:27" outlineLevel="1" x14ac:dyDescent="0.2"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spans="3:27" outlineLevel="1" x14ac:dyDescent="0.2">
      <c r="C250" s="30" t="s">
        <v>180</v>
      </c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90"/>
      <c r="Z250" s="260">
        <f>Max_Debt_Total_Cap</f>
        <v>0</v>
      </c>
      <c r="AA250" s="260">
        <f>Max_Debt_Total_Cap</f>
        <v>0</v>
      </c>
    </row>
    <row r="251" spans="3:27" outlineLevel="1" x14ac:dyDescent="0.2">
      <c r="C251" s="30" t="s">
        <v>181</v>
      </c>
      <c r="D251" s="2" t="s">
        <v>13</v>
      </c>
      <c r="E251" s="427">
        <f t="shared" ref="E251:R251" si="262">E231/(E231+E134)</f>
        <v>0.37052789592194146</v>
      </c>
      <c r="F251" s="427">
        <f t="shared" si="262"/>
        <v>0.38919582565991406</v>
      </c>
      <c r="G251" s="427">
        <f t="shared" si="262"/>
        <v>0.46997719787180137</v>
      </c>
      <c r="H251" s="427">
        <f t="shared" si="262"/>
        <v>0.64438202247191012</v>
      </c>
      <c r="I251" s="427">
        <f t="shared" si="262"/>
        <v>0.73331085637221849</v>
      </c>
      <c r="J251" s="427">
        <f t="shared" si="262"/>
        <v>0.62752293577981655</v>
      </c>
      <c r="K251" s="427">
        <f t="shared" si="262"/>
        <v>0.62696835346277324</v>
      </c>
      <c r="L251" s="427">
        <f t="shared" si="262"/>
        <v>0.56384726529173668</v>
      </c>
      <c r="M251" s="427">
        <f t="shared" si="262"/>
        <v>0.55711542235873779</v>
      </c>
      <c r="N251" s="427">
        <f t="shared" si="262"/>
        <v>0.52061328920574346</v>
      </c>
      <c r="O251" s="427">
        <f t="shared" si="262"/>
        <v>0.57353387392393584</v>
      </c>
      <c r="P251" s="427">
        <f t="shared" si="262"/>
        <v>0.48544119644021733</v>
      </c>
      <c r="Q251" s="427">
        <f t="shared" si="262"/>
        <v>0.49552248239596325</v>
      </c>
      <c r="R251" s="427">
        <f t="shared" si="262"/>
        <v>0.50705630500568977</v>
      </c>
      <c r="S251" s="30"/>
      <c r="T251" s="427">
        <f t="shared" ref="T251:AA251" si="263">T231/(T231+T134)</f>
        <v>0.38919582565991406</v>
      </c>
      <c r="U251" s="427">
        <f t="shared" si="263"/>
        <v>0.64438202247191012</v>
      </c>
      <c r="V251" s="427">
        <f t="shared" si="263"/>
        <v>0.62752293577981655</v>
      </c>
      <c r="W251" s="427">
        <f t="shared" si="263"/>
        <v>0.56384726529173668</v>
      </c>
      <c r="X251" s="427">
        <f t="shared" si="263"/>
        <v>0.52061328920574346</v>
      </c>
      <c r="Y251" s="427">
        <f t="shared" si="263"/>
        <v>0.48544119644021733</v>
      </c>
      <c r="Z251" s="427">
        <f t="shared" si="263"/>
        <v>0.49552248239596325</v>
      </c>
      <c r="AA251" s="427">
        <f t="shared" si="263"/>
        <v>0.50705630500568977</v>
      </c>
    </row>
    <row r="252" spans="3:27" outlineLevel="1" x14ac:dyDescent="0.2">
      <c r="C252" s="30" t="s">
        <v>182</v>
      </c>
      <c r="D252" s="2" t="s">
        <v>13</v>
      </c>
      <c r="E252" s="427">
        <f t="shared" ref="E252:R252" si="264">E232/(E232+E134)</f>
        <v>7.3978652926021349E-2</v>
      </c>
      <c r="F252" s="427">
        <f t="shared" si="264"/>
        <v>9.8459679855028695E-2</v>
      </c>
      <c r="G252" s="427">
        <f t="shared" si="264"/>
        <v>0.18249316139116842</v>
      </c>
      <c r="H252" s="427">
        <f t="shared" si="264"/>
        <v>0.37202380952380953</v>
      </c>
      <c r="I252" s="427">
        <f t="shared" si="264"/>
        <v>0.5601890464275785</v>
      </c>
      <c r="J252" s="427">
        <f t="shared" si="264"/>
        <v>0.25641025641025639</v>
      </c>
      <c r="K252" s="427">
        <f t="shared" si="264"/>
        <v>0.19631093544137021</v>
      </c>
      <c r="L252" s="427">
        <f t="shared" si="264"/>
        <v>-8.2927501897693684E-2</v>
      </c>
      <c r="M252" s="427">
        <f t="shared" si="264"/>
        <v>7.8871622666328606E-2</v>
      </c>
      <c r="N252" s="427">
        <f t="shared" si="264"/>
        <v>1.2376035995011006E-2</v>
      </c>
      <c r="O252" s="427">
        <f t="shared" si="264"/>
        <v>0.32997342722460171</v>
      </c>
      <c r="P252" s="427">
        <f t="shared" si="264"/>
        <v>0.22968204485374441</v>
      </c>
      <c r="Q252" s="427">
        <f t="shared" si="264"/>
        <v>0.24295622889036858</v>
      </c>
      <c r="R252" s="427">
        <f t="shared" si="264"/>
        <v>0.26439933520031972</v>
      </c>
      <c r="S252" s="30"/>
      <c r="T252" s="427">
        <f t="shared" ref="T252:AA252" si="265">T232/(T232+T134)</f>
        <v>9.8459679855028695E-2</v>
      </c>
      <c r="U252" s="427">
        <f t="shared" si="265"/>
        <v>0.37202380952380953</v>
      </c>
      <c r="V252" s="427">
        <f t="shared" si="265"/>
        <v>0.25641025641025639</v>
      </c>
      <c r="W252" s="427">
        <f t="shared" si="265"/>
        <v>-8.2927501897693684E-2</v>
      </c>
      <c r="X252" s="427">
        <f t="shared" si="265"/>
        <v>1.2376035995011006E-2</v>
      </c>
      <c r="Y252" s="427">
        <f t="shared" si="265"/>
        <v>0.22968204485374441</v>
      </c>
      <c r="Z252" s="427">
        <f t="shared" si="265"/>
        <v>0.24295622889036858</v>
      </c>
      <c r="AA252" s="427">
        <f t="shared" si="265"/>
        <v>0.26439933520031972</v>
      </c>
    </row>
    <row r="253" spans="3:27" x14ac:dyDescent="0.2"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87" spans="30:30" x14ac:dyDescent="0.2">
      <c r="AD287" s="30"/>
    </row>
    <row r="288" spans="30:30" x14ac:dyDescent="0.2">
      <c r="AD288" s="30"/>
    </row>
    <row r="289" spans="30:30" x14ac:dyDescent="0.2">
      <c r="AD289" s="30"/>
    </row>
    <row r="290" spans="30:30" x14ac:dyDescent="0.2">
      <c r="AD290" s="30"/>
    </row>
  </sheetData>
  <pageMargins left="0.7" right="0.7" top="0.75" bottom="0.75" header="0.3" footer="0.3"/>
  <pageSetup scale="55" pageOrder="overThenDown" orientation="landscape" horizontalDpi="1200" verticalDpi="1200" r:id="rId1"/>
  <rowBreaks count="6" manualBreakCount="6">
    <brk id="48" max="27" man="1"/>
    <brk id="90" max="27" man="1"/>
    <brk id="115" max="27" man="1"/>
    <brk id="139" max="27" man="1"/>
    <brk id="172" max="27" man="1"/>
    <brk id="223" max="27" man="1"/>
  </rowBreaks>
  <colBreaks count="1" manualBreakCount="1">
    <brk id="18" max="239" man="1"/>
  </colBreaks>
  <ignoredErrors>
    <ignoredError sqref="L149 F228 G228:R228" formulaRange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FECF-5607-41C6-B2E0-D4627F0AEA74}">
  <sheetPr>
    <pageSetUpPr autoPageBreaks="0"/>
  </sheetPr>
  <dimension ref="B2:AD184"/>
  <sheetViews>
    <sheetView showGridLines="0" tabSelected="1" topLeftCell="A5" zoomScale="88" zoomScaleNormal="90" zoomScaleSheetLayoutView="55" workbookViewId="0">
      <selection activeCell="L28" sqref="L28"/>
    </sheetView>
  </sheetViews>
  <sheetFormatPr baseColWidth="10" defaultColWidth="9.1640625" defaultRowHeight="16" outlineLevelRow="1" x14ac:dyDescent="0.2"/>
  <cols>
    <col min="1" max="2" width="2.6640625" style="68" customWidth="1"/>
    <col min="3" max="3" width="52" style="68" bestFit="1" customWidth="1"/>
    <col min="4" max="4" width="12.83203125" style="68" customWidth="1"/>
    <col min="5" max="5" width="14" style="68" customWidth="1"/>
    <col min="6" max="17" width="12.83203125" style="68" customWidth="1"/>
    <col min="18" max="18" width="2.6640625" style="68" customWidth="1"/>
    <col min="19" max="19" width="2.6640625" style="69" customWidth="1"/>
    <col min="20" max="29" width="12.33203125" style="68" customWidth="1"/>
    <col min="30" max="16384" width="9.1640625" style="68"/>
  </cols>
  <sheetData>
    <row r="2" spans="2:30" ht="19" x14ac:dyDescent="0.25">
      <c r="B2" s="64" t="str">
        <f>"DCF Analysis - "&amp;Company_Name</f>
        <v>DCF Analysis - easyJet plc</v>
      </c>
    </row>
    <row r="3" spans="2:30" x14ac:dyDescent="0.2">
      <c r="B3" s="68" t="str">
        <f>Public_Comps!$B$3</f>
        <v>(£ GBP in Millions Except Per Share Amounts in GBP as Stated)</v>
      </c>
    </row>
    <row r="5" spans="2:30" x14ac:dyDescent="0.2"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</row>
    <row r="6" spans="2:30" x14ac:dyDescent="0.2">
      <c r="B6" s="243" t="str">
        <f>Company_Name&amp;" - DCF Assumptions &amp; Output:"</f>
        <v>easyJet plc - DCF Assumptions &amp; Output:</v>
      </c>
      <c r="C6" s="243"/>
      <c r="D6" s="244" t="s">
        <v>2</v>
      </c>
      <c r="E6" s="244"/>
      <c r="F6" s="438"/>
      <c r="G6" s="243"/>
      <c r="H6" s="245"/>
      <c r="I6" s="245"/>
      <c r="J6" s="245"/>
      <c r="K6" s="245"/>
      <c r="L6" s="245"/>
      <c r="M6" s="245"/>
      <c r="N6" s="245"/>
      <c r="O6" s="245"/>
      <c r="P6" s="245"/>
      <c r="Q6" s="245"/>
      <c r="AD6" s="30"/>
    </row>
    <row r="7" spans="2:30" outlineLevel="1" x14ac:dyDescent="0.2">
      <c r="AD7" s="30"/>
    </row>
    <row r="8" spans="2:30" outlineLevel="1" x14ac:dyDescent="0.2">
      <c r="C8" s="30" t="s">
        <v>14</v>
      </c>
      <c r="D8" s="2" t="s">
        <v>4</v>
      </c>
      <c r="E8" s="38" t="s">
        <v>28</v>
      </c>
      <c r="F8" s="71"/>
      <c r="G8" s="71"/>
      <c r="H8" s="72" t="s">
        <v>183</v>
      </c>
      <c r="I8" s="73"/>
      <c r="J8" s="73"/>
      <c r="K8" s="73"/>
      <c r="M8" s="72" t="s">
        <v>184</v>
      </c>
      <c r="N8" s="73"/>
      <c r="O8" s="73"/>
      <c r="P8" s="73"/>
      <c r="AD8" s="30"/>
    </row>
    <row r="9" spans="2:30" outlineLevel="1" x14ac:dyDescent="0.2">
      <c r="C9" s="30" t="s">
        <v>3</v>
      </c>
      <c r="D9" s="70" t="s">
        <v>4</v>
      </c>
      <c r="E9" s="247" t="str">
        <f>Company_Name</f>
        <v>easyJet plc</v>
      </c>
      <c r="F9" s="439"/>
      <c r="AC9" s="30"/>
      <c r="AD9" s="30"/>
    </row>
    <row r="10" spans="2:30" outlineLevel="1" x14ac:dyDescent="0.2">
      <c r="F10" s="439"/>
      <c r="H10" s="68" t="s">
        <v>185</v>
      </c>
      <c r="K10" s="74">
        <f>Public_Comps!S38</f>
        <v>5.8767236669580427</v>
      </c>
      <c r="M10" s="68" t="s">
        <v>186</v>
      </c>
      <c r="P10" s="75">
        <v>0.02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spans="2:30" outlineLevel="1" x14ac:dyDescent="0.2">
      <c r="C11" s="68" t="s">
        <v>187</v>
      </c>
      <c r="D11" s="70" t="s">
        <v>188</v>
      </c>
      <c r="E11" s="263">
        <f ca="1">TODAY()</f>
        <v>45765</v>
      </c>
      <c r="F11" s="439"/>
      <c r="H11" s="68" t="s">
        <v>189</v>
      </c>
      <c r="K11" s="74">
        <f>Public_Comps!S42</f>
        <v>4.7911752640563137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spans="2:30" ht="14.5" customHeight="1" outlineLevel="1" x14ac:dyDescent="0.2">
      <c r="C12" s="30" t="s">
        <v>190</v>
      </c>
      <c r="D12" s="70" t="s">
        <v>11</v>
      </c>
      <c r="E12" s="342">
        <f ca="1">_xlfn.DAYS(H43,Val_Date)/_xlfn.DAYS(H43,G43)</f>
        <v>-2.5506849315068494</v>
      </c>
      <c r="F12" s="439"/>
      <c r="K12" s="76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2:30" outlineLevel="1" x14ac:dyDescent="0.2">
      <c r="H13" s="68" t="s">
        <v>191</v>
      </c>
      <c r="J13" s="77"/>
      <c r="K13" s="335">
        <f>INDEX(K14:K16,MATCH(Scenario,$H14:$H16,0),1)</f>
        <v>4.8960241221665548</v>
      </c>
      <c r="M13" s="68" t="s">
        <v>192</v>
      </c>
      <c r="O13" s="77"/>
      <c r="P13" s="425">
        <f>INDEX(P14:P16,MATCH(Scenario,$M14:$M16,0),1)</f>
        <v>0.01</v>
      </c>
      <c r="S13" s="79"/>
      <c r="T13" s="8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spans="2:30" outlineLevel="1" x14ac:dyDescent="0.2">
      <c r="C14" s="30" t="s">
        <v>193</v>
      </c>
      <c r="D14" s="70" t="s">
        <v>194</v>
      </c>
      <c r="E14" s="267">
        <v>4.5309999999999997</v>
      </c>
      <c r="F14" s="439"/>
      <c r="H14" s="31" t="str">
        <f>EZJ!$C$31</f>
        <v>Base</v>
      </c>
      <c r="K14" s="78">
        <v>4.8960241221665548</v>
      </c>
      <c r="M14" s="31" t="str">
        <f>EZJ!$C$31</f>
        <v>Base</v>
      </c>
      <c r="P14" s="75">
        <v>0.01</v>
      </c>
      <c r="S14" s="7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spans="2:30" outlineLevel="1" x14ac:dyDescent="0.2">
      <c r="C15" s="68" t="s">
        <v>195</v>
      </c>
      <c r="D15" s="70" t="s">
        <v>196</v>
      </c>
      <c r="E15" s="446">
        <v>759</v>
      </c>
      <c r="F15" s="439"/>
      <c r="H15" s="31" t="str">
        <f>EZJ!$C$32</f>
        <v>Downside</v>
      </c>
      <c r="K15" s="78">
        <v>4.3090371782691825</v>
      </c>
      <c r="M15" s="31" t="str">
        <f>EZJ!$C$32</f>
        <v>Downside</v>
      </c>
      <c r="P15" s="75">
        <v>5.0000000000000001E-3</v>
      </c>
      <c r="S15" s="7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spans="2:30" outlineLevel="1" x14ac:dyDescent="0.2">
      <c r="H16" s="31" t="str">
        <f>EZJ!$C$33</f>
        <v>XT Downside</v>
      </c>
      <c r="K16" s="78">
        <v>3.8878595857844478</v>
      </c>
      <c r="M16" s="31" t="str">
        <f>EZJ!$C$33</f>
        <v>XT Downside</v>
      </c>
      <c r="P16" s="75">
        <v>0</v>
      </c>
      <c r="S16" s="7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spans="3:30" outlineLevel="1" x14ac:dyDescent="0.2">
      <c r="C17" s="68" t="s">
        <v>197</v>
      </c>
      <c r="D17" s="70" t="s">
        <v>13</v>
      </c>
      <c r="E17" s="261">
        <f>WACC!L41</f>
        <v>0.11585846755223139</v>
      </c>
      <c r="F17" s="439"/>
      <c r="S17" s="7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3:30" outlineLevel="1" x14ac:dyDescent="0.2">
      <c r="F18" s="439"/>
      <c r="H18" s="68" t="s">
        <v>198</v>
      </c>
      <c r="K18" s="41">
        <f>K13*Q135</f>
        <v>11341.838861116215</v>
      </c>
      <c r="M18" s="68" t="s">
        <v>198</v>
      </c>
      <c r="P18" s="41">
        <f>Q122*(1+P13)/(Discount_Rate-P13)</f>
        <v>7644.4091806224733</v>
      </c>
      <c r="S18" s="7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spans="3:30" outlineLevel="1" x14ac:dyDescent="0.2">
      <c r="C19" s="89" t="s">
        <v>199</v>
      </c>
      <c r="D19" s="90" t="s">
        <v>35</v>
      </c>
      <c r="E19" s="268">
        <f>Share_Price*Diluted_Shares</f>
        <v>3439.0289999999995</v>
      </c>
      <c r="H19" s="68" t="s">
        <v>200</v>
      </c>
      <c r="J19" s="77"/>
      <c r="K19" s="81">
        <f>(K18*Discount_Rate-Q122)/(K18+Q122)</f>
        <v>4.2232772650911583E-2</v>
      </c>
      <c r="M19" s="68" t="s">
        <v>201</v>
      </c>
      <c r="P19" s="82">
        <f>P18/Q135</f>
        <v>3.2999244837054289</v>
      </c>
      <c r="S19" s="7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3:30" outlineLevel="1" x14ac:dyDescent="0.2">
      <c r="C20" s="83" t="s">
        <v>202</v>
      </c>
      <c r="D20" s="70" t="s">
        <v>35</v>
      </c>
      <c r="E20" s="333">
        <f>-EZJ!K119</f>
        <v>-3505</v>
      </c>
      <c r="F20" s="439"/>
      <c r="S20" s="7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spans="3:30" outlineLevel="1" x14ac:dyDescent="0.2">
      <c r="C21" s="83" t="s">
        <v>203</v>
      </c>
      <c r="D21" s="70" t="s">
        <v>35</v>
      </c>
      <c r="E21" s="332">
        <f>-EZJ!K83*Tax_Rate</f>
        <v>-608.94246031746025</v>
      </c>
      <c r="F21" s="439"/>
      <c r="H21" s="83" t="s">
        <v>204</v>
      </c>
      <c r="K21" s="34">
        <f ca="1">K18*Q129</f>
        <v>5592.9031711642947</v>
      </c>
      <c r="M21" s="83" t="s">
        <v>204</v>
      </c>
      <c r="P21" s="34">
        <f ca="1">P18*Q130</f>
        <v>3982.0096654440795</v>
      </c>
      <c r="AD21" s="30"/>
    </row>
    <row r="22" spans="3:30" outlineLevel="1" x14ac:dyDescent="0.2">
      <c r="C22" s="83" t="s">
        <v>205</v>
      </c>
      <c r="D22" s="70" t="s">
        <v>35</v>
      </c>
      <c r="E22" s="334">
        <f>EZJ!K131</f>
        <v>3046</v>
      </c>
      <c r="F22" s="439"/>
      <c r="G22" s="91"/>
      <c r="H22" s="83" t="s">
        <v>206</v>
      </c>
      <c r="K22" s="34">
        <f ca="1">$Q$102*Tax_Rate*$Q$129</f>
        <v>0</v>
      </c>
      <c r="M22" s="83" t="s">
        <v>206</v>
      </c>
      <c r="P22" s="34">
        <f ca="1">$Q$102*Tax_Rate*$Q$130</f>
        <v>0</v>
      </c>
      <c r="T22" s="30"/>
      <c r="AD22" s="30"/>
    </row>
    <row r="23" spans="3:30" outlineLevel="1" x14ac:dyDescent="0.2">
      <c r="C23" s="83" t="s">
        <v>207</v>
      </c>
      <c r="D23" s="70" t="s">
        <v>35</v>
      </c>
      <c r="E23" s="269">
        <v>0</v>
      </c>
      <c r="F23" s="439"/>
      <c r="H23" s="83" t="s">
        <v>208</v>
      </c>
      <c r="K23" s="34">
        <f ca="1">SUM($H$127:$Q$127)</f>
        <v>1417.854142494492</v>
      </c>
      <c r="M23" s="83" t="s">
        <v>208</v>
      </c>
      <c r="P23" s="34">
        <f ca="1">SUM($H$127:$Q$127)</f>
        <v>1417.854142494492</v>
      </c>
      <c r="AD23" s="30"/>
    </row>
    <row r="24" spans="3:30" outlineLevel="1" x14ac:dyDescent="0.2">
      <c r="C24" s="83" t="s">
        <v>209</v>
      </c>
      <c r="D24" s="70" t="s">
        <v>35</v>
      </c>
      <c r="E24" s="334">
        <f>EZJ!K130</f>
        <v>1055</v>
      </c>
      <c r="F24" s="439"/>
      <c r="H24" s="85" t="s">
        <v>210</v>
      </c>
      <c r="I24" s="86"/>
      <c r="J24" s="86"/>
      <c r="K24" s="329">
        <f ca="1">SUM(K21:K23)</f>
        <v>7010.7573136587871</v>
      </c>
      <c r="M24" s="85" t="s">
        <v>210</v>
      </c>
      <c r="N24" s="86"/>
      <c r="O24" s="86"/>
      <c r="P24" s="329">
        <f ca="1">SUM(P21:P23)</f>
        <v>5399.863807938571</v>
      </c>
      <c r="AD24" s="30"/>
    </row>
    <row r="25" spans="3:30" outlineLevel="1" x14ac:dyDescent="0.2">
      <c r="C25" s="83" t="s">
        <v>211</v>
      </c>
      <c r="D25" s="70" t="s">
        <v>35</v>
      </c>
      <c r="E25" s="269">
        <v>0</v>
      </c>
      <c r="F25" s="439"/>
      <c r="H25" s="83"/>
      <c r="K25" s="84"/>
      <c r="M25" s="83"/>
      <c r="P25" s="84"/>
      <c r="AD25" s="30"/>
    </row>
    <row r="26" spans="3:30" outlineLevel="1" x14ac:dyDescent="0.2">
      <c r="C26" s="83" t="s">
        <v>212</v>
      </c>
      <c r="D26" s="70" t="s">
        <v>35</v>
      </c>
      <c r="E26" s="270">
        <v>0</v>
      </c>
      <c r="F26" s="439"/>
      <c r="H26" s="87" t="s">
        <v>213</v>
      </c>
      <c r="K26" s="88">
        <f ca="1">K21/K24</f>
        <v>0.79776020206374254</v>
      </c>
      <c r="M26" s="87" t="s">
        <v>213</v>
      </c>
      <c r="P26" s="88">
        <f ca="1">P21/P24</f>
        <v>0.73742779578810058</v>
      </c>
      <c r="AD26" s="30"/>
    </row>
    <row r="27" spans="3:30" outlineLevel="1" x14ac:dyDescent="0.2">
      <c r="C27" s="92" t="s">
        <v>214</v>
      </c>
      <c r="D27" s="93" t="s">
        <v>35</v>
      </c>
      <c r="E27" s="271">
        <f>SUM(E19:E26)</f>
        <v>3426.0865396825393</v>
      </c>
      <c r="F27" s="439"/>
      <c r="H27" s="83"/>
      <c r="K27" s="84"/>
      <c r="M27" s="83"/>
      <c r="P27" s="84"/>
      <c r="AD27" s="30"/>
    </row>
    <row r="28" spans="3:30" outlineLevel="1" x14ac:dyDescent="0.2">
      <c r="F28" s="439"/>
      <c r="H28" s="83" t="s">
        <v>215</v>
      </c>
      <c r="K28" s="265">
        <f>-E20</f>
        <v>3505</v>
      </c>
      <c r="M28" s="83" t="str">
        <f>H28</f>
        <v>(+) Cash &amp; Investments:</v>
      </c>
      <c r="P28" s="265">
        <f>K28</f>
        <v>3505</v>
      </c>
      <c r="AD28" s="30"/>
    </row>
    <row r="29" spans="3:30" outlineLevel="1" x14ac:dyDescent="0.2">
      <c r="E29" s="264" t="s">
        <v>387</v>
      </c>
      <c r="F29" s="94">
        <f>Share_Price/F33</f>
        <v>-37.345067392090364</v>
      </c>
      <c r="G29" s="94"/>
      <c r="H29" s="83" t="s">
        <v>216</v>
      </c>
      <c r="K29" s="331">
        <v>0</v>
      </c>
      <c r="M29" s="83" t="str">
        <f t="shared" ref="M29:M32" si="0">H29</f>
        <v>(+) Net Operating Losses:</v>
      </c>
      <c r="P29" s="331">
        <v>0</v>
      </c>
      <c r="AD29" s="30"/>
    </row>
    <row r="30" spans="3:30" outlineLevel="1" x14ac:dyDescent="0.2">
      <c r="E30" s="264" t="s">
        <v>388</v>
      </c>
      <c r="F30" s="445">
        <f>Share_Price/F35</f>
        <v>0.61903617891778973</v>
      </c>
      <c r="H30" s="83" t="s">
        <v>217</v>
      </c>
      <c r="K30" s="265">
        <f>-E22</f>
        <v>-3046</v>
      </c>
      <c r="M30" s="83" t="str">
        <f t="shared" si="0"/>
        <v>(-) Total Debt:</v>
      </c>
      <c r="P30" s="265">
        <f t="shared" ref="P30:P31" si="1">K30</f>
        <v>-3046</v>
      </c>
      <c r="AD30" s="30"/>
    </row>
    <row r="31" spans="3:30" outlineLevel="1" x14ac:dyDescent="0.2">
      <c r="E31" s="264" t="s">
        <v>389</v>
      </c>
      <c r="F31" s="444">
        <f>SUM(EZJ!O114:P114)/Diluted_Shares</f>
        <v>0.36225742187053234</v>
      </c>
      <c r="G31" s="94"/>
      <c r="H31" s="83" t="s">
        <v>218</v>
      </c>
      <c r="K31" s="265">
        <f>-E23</f>
        <v>0</v>
      </c>
      <c r="M31" s="83" t="str">
        <f t="shared" si="0"/>
        <v>(-) Preferred Stock:</v>
      </c>
      <c r="P31" s="265">
        <f t="shared" si="1"/>
        <v>0</v>
      </c>
      <c r="AD31" s="30"/>
    </row>
    <row r="32" spans="3:30" outlineLevel="1" x14ac:dyDescent="0.2">
      <c r="E32" s="264" t="s">
        <v>392</v>
      </c>
      <c r="F32" s="94">
        <f>SUM(EZJ!O114:P114)/Diluted_Shares</f>
        <v>0.36225742187053234</v>
      </c>
      <c r="H32" s="83" t="s">
        <v>219</v>
      </c>
      <c r="K32" s="331">
        <v>0</v>
      </c>
      <c r="M32" s="83" t="str">
        <f t="shared" si="0"/>
        <v>(-) Finance &amp; Operating Leases:</v>
      </c>
      <c r="P32" s="331">
        <v>0</v>
      </c>
      <c r="S32" s="30"/>
      <c r="T32" s="30"/>
      <c r="U32" s="30"/>
      <c r="V32" s="30"/>
      <c r="W32" s="30"/>
      <c r="X32" s="30"/>
      <c r="Y32" s="30"/>
      <c r="Z32" s="30"/>
      <c r="AA32" s="30"/>
      <c r="AB32" s="30"/>
      <c r="AD32" s="30"/>
    </row>
    <row r="33" spans="2:30" outlineLevel="1" x14ac:dyDescent="0.2">
      <c r="C33" s="350"/>
      <c r="D33" s="196"/>
      <c r="E33" s="448" t="s">
        <v>390</v>
      </c>
      <c r="F33" s="94">
        <f>AVERAGE(EZJ!E114:Q114)/Diluted_Shares</f>
        <v>-0.12132793743357013</v>
      </c>
      <c r="H33" s="83" t="s">
        <v>220</v>
      </c>
      <c r="K33" s="265">
        <f>-E25</f>
        <v>0</v>
      </c>
      <c r="M33" s="83" t="str">
        <f>H33</f>
        <v>(-) Noncontrolling Interests:</v>
      </c>
      <c r="P33" s="265">
        <f>K33</f>
        <v>0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D33" s="30"/>
    </row>
    <row r="34" spans="2:30" outlineLevel="1" x14ac:dyDescent="0.2">
      <c r="D34" s="196"/>
      <c r="E34" s="448" t="s">
        <v>391</v>
      </c>
      <c r="F34" s="94">
        <f>SUM(EZJ!Q114:R114)/Diluted_Shares</f>
        <v>1.0771340396126539</v>
      </c>
      <c r="H34" s="83" t="s">
        <v>221</v>
      </c>
      <c r="K34" s="265">
        <f>-E26</f>
        <v>0</v>
      </c>
      <c r="M34" s="83" t="str">
        <f>H34</f>
        <v>(-) Unfunded Pensions:</v>
      </c>
      <c r="P34" s="265">
        <f>K34</f>
        <v>0</v>
      </c>
      <c r="AD34" s="30"/>
    </row>
    <row r="35" spans="2:30" outlineLevel="1" x14ac:dyDescent="0.2">
      <c r="D35" s="196"/>
      <c r="E35" s="448" t="s">
        <v>393</v>
      </c>
      <c r="F35" s="447">
        <f>F36/K37</f>
        <v>7.3194429571486053</v>
      </c>
      <c r="H35" s="85" t="s">
        <v>222</v>
      </c>
      <c r="I35" s="86"/>
      <c r="J35" s="86"/>
      <c r="K35" s="266">
        <f ca="1">K24+SUM(K28:K34)</f>
        <v>7469.7573136587871</v>
      </c>
      <c r="M35" s="85" t="s">
        <v>222</v>
      </c>
      <c r="N35" s="86"/>
      <c r="O35" s="86"/>
      <c r="P35" s="266">
        <f ca="1">P24+SUM(P28:P34)</f>
        <v>5858.863807938571</v>
      </c>
      <c r="AD35" s="30"/>
    </row>
    <row r="36" spans="2:30" outlineLevel="1" x14ac:dyDescent="0.2">
      <c r="D36" s="196"/>
      <c r="E36" s="448" t="s">
        <v>394</v>
      </c>
      <c r="F36" s="94">
        <f>SUM(EZJ!O124,EZJ!P124)-SUM(EZJ!O132:'EZJ'!P132)</f>
        <v>5555.4572044757915</v>
      </c>
      <c r="H36" s="83"/>
      <c r="K36" s="84"/>
      <c r="M36" s="83"/>
      <c r="P36" s="84"/>
      <c r="AD36" s="30"/>
    </row>
    <row r="37" spans="2:30" outlineLevel="1" x14ac:dyDescent="0.2">
      <c r="E37" s="264"/>
      <c r="H37" s="68" t="s">
        <v>195</v>
      </c>
      <c r="K37" s="95">
        <f>Diluted_Shares</f>
        <v>759</v>
      </c>
      <c r="M37" s="68" t="s">
        <v>195</v>
      </c>
      <c r="P37" s="95">
        <f>Diluted_Shares</f>
        <v>759</v>
      </c>
      <c r="AD37" s="30"/>
    </row>
    <row r="38" spans="2:30" outlineLevel="1" x14ac:dyDescent="0.2">
      <c r="H38" s="83"/>
      <c r="K38" s="84"/>
      <c r="M38" s="83"/>
      <c r="P38" s="84"/>
      <c r="AD38" s="30"/>
    </row>
    <row r="39" spans="2:30" outlineLevel="1" x14ac:dyDescent="0.2">
      <c r="H39" s="96" t="s">
        <v>223</v>
      </c>
      <c r="I39" s="97"/>
      <c r="J39" s="97"/>
      <c r="K39" s="272">
        <f ca="1">MAX(0,K35/K37)</f>
        <v>9.8415774883514988</v>
      </c>
      <c r="L39" s="94">
        <f ca="1">K35/758</f>
        <v>9.8545610998137025</v>
      </c>
      <c r="M39" s="96" t="s">
        <v>223</v>
      </c>
      <c r="N39" s="97"/>
      <c r="O39" s="97"/>
      <c r="P39" s="272">
        <f ca="1">MAX(0,P35/P37)</f>
        <v>7.7191881527517401</v>
      </c>
      <c r="AD39" s="30"/>
    </row>
    <row r="40" spans="2:30" outlineLevel="1" x14ac:dyDescent="0.2">
      <c r="H40" s="98" t="s">
        <v>224</v>
      </c>
      <c r="I40" s="99"/>
      <c r="J40" s="99"/>
      <c r="K40" s="100">
        <f ca="1">K39/Share_Price-1</f>
        <v>1.1720541797288675</v>
      </c>
      <c r="M40" s="98" t="s">
        <v>224</v>
      </c>
      <c r="N40" s="99"/>
      <c r="O40" s="99"/>
      <c r="P40" s="100">
        <f ca="1">P39/Share_Price-1</f>
        <v>0.70363896551572291</v>
      </c>
      <c r="AD40" s="30"/>
    </row>
    <row r="41" spans="2:30" x14ac:dyDescent="0.2">
      <c r="H41" s="83"/>
      <c r="K41" s="420"/>
      <c r="M41" s="83"/>
      <c r="P41" s="84"/>
      <c r="AD41" s="30"/>
    </row>
    <row r="42" spans="2:30" x14ac:dyDescent="0.2">
      <c r="B42" s="242"/>
      <c r="C42" s="242"/>
      <c r="D42" s="242"/>
      <c r="E42" s="246"/>
      <c r="F42" s="440"/>
      <c r="G42" s="404" t="s">
        <v>22</v>
      </c>
      <c r="H42" s="404"/>
      <c r="I42" s="404"/>
      <c r="J42" s="422">
        <v>0</v>
      </c>
      <c r="K42" s="421"/>
      <c r="L42" s="246"/>
      <c r="M42" s="246"/>
      <c r="N42" s="246"/>
      <c r="O42" s="246"/>
      <c r="P42" s="246"/>
      <c r="Q42" s="246"/>
      <c r="AD42" s="30"/>
    </row>
    <row r="43" spans="2:30" x14ac:dyDescent="0.2">
      <c r="B43" s="243" t="s">
        <v>225</v>
      </c>
      <c r="C43" s="243"/>
      <c r="D43" s="244" t="str">
        <f>$D$6</f>
        <v>Units:</v>
      </c>
      <c r="E43" s="37">
        <f>EZJ!T26</f>
        <v>43738</v>
      </c>
      <c r="F43" s="441">
        <f>EZJ!U26</f>
        <v>44104</v>
      </c>
      <c r="G43" s="37">
        <f>EZJ!V26</f>
        <v>44469</v>
      </c>
      <c r="H43" s="408">
        <f>EZJ!W26</f>
        <v>44834</v>
      </c>
      <c r="I43" s="37">
        <f>EZJ!X26</f>
        <v>45199</v>
      </c>
      <c r="J43" s="37">
        <f>EZJ!Y26</f>
        <v>45565</v>
      </c>
      <c r="K43" s="37">
        <f>EZJ!Z26</f>
        <v>45930</v>
      </c>
      <c r="L43" s="37">
        <f>EZJ!AA26</f>
        <v>46295</v>
      </c>
      <c r="M43" s="37">
        <f>EOMONTH(L43,12)</f>
        <v>46660</v>
      </c>
      <c r="N43" s="37">
        <f t="shared" ref="N43:Q43" si="2">EOMONTH(M43,12)</f>
        <v>47026</v>
      </c>
      <c r="O43" s="37">
        <f t="shared" si="2"/>
        <v>47391</v>
      </c>
      <c r="P43" s="37">
        <f t="shared" si="2"/>
        <v>47756</v>
      </c>
      <c r="Q43" s="37">
        <f t="shared" si="2"/>
        <v>48121</v>
      </c>
      <c r="AD43" s="30"/>
    </row>
    <row r="44" spans="2:30" outlineLevel="1" x14ac:dyDescent="0.2">
      <c r="H44" s="83"/>
      <c r="K44" s="84"/>
      <c r="M44" s="83"/>
      <c r="P44" s="84"/>
      <c r="AD44" s="30"/>
    </row>
    <row r="45" spans="2:30" outlineLevel="1" x14ac:dyDescent="0.2">
      <c r="C45" s="30" t="s">
        <v>25</v>
      </c>
      <c r="D45" s="2" t="s">
        <v>26</v>
      </c>
      <c r="E45" s="255">
        <f>EZJ!T29</f>
        <v>116056</v>
      </c>
      <c r="F45" s="255">
        <f>EZJ!U29</f>
        <v>62830</v>
      </c>
      <c r="G45" s="255">
        <f>EZJ!V29</f>
        <v>33348</v>
      </c>
      <c r="H45" s="255">
        <f>EZJ!W29</f>
        <v>82281</v>
      </c>
      <c r="I45" s="255">
        <f>EZJ!X29</f>
        <v>115193.4</v>
      </c>
      <c r="J45" s="255">
        <f>EZJ!Y29</f>
        <v>134872.49999999997</v>
      </c>
      <c r="K45" s="255">
        <f>EZJ!Z29</f>
        <v>155103.37499999994</v>
      </c>
      <c r="L45" s="255">
        <f>EZJ!AA29</f>
        <v>174491.29687499994</v>
      </c>
      <c r="M45" s="254">
        <f>L45*(1+M46)</f>
        <v>191940.42656249995</v>
      </c>
      <c r="N45" s="254">
        <f t="shared" ref="N45:Q45" si="3">M45*(1+N46)</f>
        <v>211134.46921874996</v>
      </c>
      <c r="O45" s="254">
        <f t="shared" si="3"/>
        <v>226969.55441015621</v>
      </c>
      <c r="P45" s="254">
        <f t="shared" si="3"/>
        <v>238318.03213066404</v>
      </c>
      <c r="Q45" s="254">
        <f t="shared" si="3"/>
        <v>250233.93373719725</v>
      </c>
      <c r="AD45" s="30"/>
    </row>
    <row r="46" spans="2:30" outlineLevel="1" x14ac:dyDescent="0.2">
      <c r="C46" s="31" t="s">
        <v>27</v>
      </c>
      <c r="D46" s="2" t="s">
        <v>13</v>
      </c>
      <c r="E46" s="257">
        <f>EZJ!T30</f>
        <v>0</v>
      </c>
      <c r="F46" s="257">
        <f>EZJ!U30</f>
        <v>-0.45862342317501892</v>
      </c>
      <c r="G46" s="257">
        <f>EZJ!V30</f>
        <v>-0.46923444214547194</v>
      </c>
      <c r="H46" s="257">
        <f>EZJ!W30</f>
        <v>1.4673443684778698</v>
      </c>
      <c r="I46" s="257">
        <f>EZJ!X30</f>
        <v>0.39999999999999991</v>
      </c>
      <c r="J46" s="257">
        <f>EZJ!Y30</f>
        <v>0.17083530827286952</v>
      </c>
      <c r="K46" s="257">
        <f>EZJ!Z30</f>
        <v>0.14999999999999991</v>
      </c>
      <c r="L46" s="257">
        <f>EZJ!AA30</f>
        <v>0.125</v>
      </c>
      <c r="M46" s="260">
        <f>INDEX(M47:M49,MATCH(Scenario,$C47:$C49,0),1)</f>
        <v>0.1</v>
      </c>
      <c r="N46" s="260">
        <f>INDEX(N47:N49,MATCH(Scenario,$C47:$C49,0),1)</f>
        <v>0.1</v>
      </c>
      <c r="O46" s="260">
        <f>INDEX(O47:O49,MATCH(Scenario,$C47:$C49,0),1)</f>
        <v>7.4999999999999997E-2</v>
      </c>
      <c r="P46" s="260">
        <f>INDEX(P47:P49,MATCH(Scenario,$C47:$C49,0),1)</f>
        <v>0.05</v>
      </c>
      <c r="Q46" s="260">
        <f>INDEX(Q47:Q49,MATCH(Scenario,$C47:$C49,0),1)</f>
        <v>0.05</v>
      </c>
      <c r="AD46" s="30"/>
    </row>
    <row r="47" spans="2:30" outlineLevel="1" x14ac:dyDescent="0.2">
      <c r="C47" s="61" t="str">
        <f>EZJ!$C$31</f>
        <v>Base</v>
      </c>
      <c r="D47" s="2" t="s">
        <v>13</v>
      </c>
      <c r="E47" s="256"/>
      <c r="F47" s="256"/>
      <c r="G47" s="256"/>
      <c r="H47" s="256"/>
      <c r="I47" s="256"/>
      <c r="J47" s="256"/>
      <c r="K47" s="256"/>
      <c r="L47" s="256"/>
      <c r="M47" s="38">
        <v>0.1</v>
      </c>
      <c r="N47" s="38">
        <v>0.1</v>
      </c>
      <c r="O47" s="38">
        <v>7.4999999999999997E-2</v>
      </c>
      <c r="P47" s="38">
        <v>0.05</v>
      </c>
      <c r="Q47" s="38">
        <v>0.05</v>
      </c>
      <c r="AD47" s="30"/>
    </row>
    <row r="48" spans="2:30" outlineLevel="1" x14ac:dyDescent="0.2">
      <c r="C48" s="61" t="str">
        <f>EZJ!$C$32</f>
        <v>Downside</v>
      </c>
      <c r="D48" s="2" t="s">
        <v>13</v>
      </c>
      <c r="E48" s="256"/>
      <c r="F48" s="256"/>
      <c r="G48" s="256"/>
      <c r="H48" s="256"/>
      <c r="I48" s="256"/>
      <c r="J48" s="256"/>
      <c r="K48" s="256"/>
      <c r="L48" s="256"/>
      <c r="M48" s="38">
        <v>0.1</v>
      </c>
      <c r="N48" s="38">
        <v>0.1</v>
      </c>
      <c r="O48" s="38">
        <v>7.4999999999999997E-2</v>
      </c>
      <c r="P48" s="38">
        <v>7.4999999999999997E-2</v>
      </c>
      <c r="Q48" s="38">
        <v>0.05</v>
      </c>
      <c r="AD48" s="30"/>
    </row>
    <row r="49" spans="3:30" outlineLevel="1" x14ac:dyDescent="0.2">
      <c r="C49" s="61" t="str">
        <f>EZJ!$C$33</f>
        <v>XT Downside</v>
      </c>
      <c r="D49" s="2" t="s">
        <v>13</v>
      </c>
      <c r="E49" s="256"/>
      <c r="F49" s="256"/>
      <c r="G49" s="256"/>
      <c r="H49" s="256"/>
      <c r="I49" s="256"/>
      <c r="J49" s="256"/>
      <c r="K49" s="256"/>
      <c r="L49" s="256"/>
      <c r="M49" s="38">
        <v>0.1</v>
      </c>
      <c r="N49" s="38">
        <v>0.1</v>
      </c>
      <c r="O49" s="38">
        <v>0.1</v>
      </c>
      <c r="P49" s="38">
        <v>0.1</v>
      </c>
      <c r="Q49" s="38">
        <v>7.4999999999999997E-2</v>
      </c>
      <c r="AD49" s="30"/>
    </row>
    <row r="50" spans="3:30" outlineLevel="1" x14ac:dyDescent="0.2">
      <c r="E50" s="256"/>
      <c r="F50" s="256"/>
      <c r="G50" s="256"/>
      <c r="H50" s="256"/>
      <c r="I50" s="256"/>
      <c r="J50" s="256"/>
      <c r="K50" s="256"/>
      <c r="L50" s="256"/>
      <c r="M50" s="83"/>
      <c r="P50" s="84"/>
      <c r="AD50" s="30"/>
    </row>
    <row r="51" spans="3:30" outlineLevel="1" x14ac:dyDescent="0.2">
      <c r="C51" s="30" t="s">
        <v>31</v>
      </c>
      <c r="D51" s="2" t="s">
        <v>13</v>
      </c>
      <c r="E51" s="257">
        <f>EZJ!T35</f>
        <v>0.92835355345695181</v>
      </c>
      <c r="F51" s="257">
        <f>EZJ!U35</f>
        <v>0.93767308610536371</v>
      </c>
      <c r="G51" s="257">
        <f>EZJ!V35</f>
        <v>0.70750869617368362</v>
      </c>
      <c r="H51" s="257">
        <f>EZJ!W35</f>
        <v>0.82164655266707987</v>
      </c>
      <c r="I51" s="257">
        <f>EZJ!X35</f>
        <v>0.88749881503627814</v>
      </c>
      <c r="J51" s="257">
        <f>EZJ!Y35</f>
        <v>0.91572913974309067</v>
      </c>
      <c r="K51" s="257">
        <f>EZJ!Z35</f>
        <v>0.92500000000000004</v>
      </c>
      <c r="L51" s="257">
        <f>EZJ!AA35</f>
        <v>0.92500000000000004</v>
      </c>
      <c r="M51" s="38">
        <v>0.92500000000000004</v>
      </c>
      <c r="N51" s="38">
        <v>0.92500000000000004</v>
      </c>
      <c r="O51" s="38">
        <v>0.92500000000000004</v>
      </c>
      <c r="P51" s="38">
        <v>0.92500000000000004</v>
      </c>
      <c r="Q51" s="38">
        <v>0.92500000000000004</v>
      </c>
      <c r="AD51" s="30"/>
    </row>
    <row r="52" spans="3:30" outlineLevel="1" x14ac:dyDescent="0.2">
      <c r="H52" s="83"/>
      <c r="K52" s="84"/>
      <c r="M52" s="83"/>
      <c r="P52" s="84"/>
      <c r="AD52" s="30"/>
    </row>
    <row r="53" spans="3:30" outlineLevel="1" x14ac:dyDescent="0.2">
      <c r="C53" s="30" t="s">
        <v>32</v>
      </c>
      <c r="D53" s="2" t="s">
        <v>26</v>
      </c>
      <c r="E53" s="254">
        <f t="shared" ref="E53:M53" si="4">E45*E51</f>
        <v>107741</v>
      </c>
      <c r="F53" s="254">
        <f t="shared" si="4"/>
        <v>58914</v>
      </c>
      <c r="G53" s="254">
        <f t="shared" si="4"/>
        <v>23594</v>
      </c>
      <c r="H53" s="254">
        <f t="shared" si="4"/>
        <v>67605.899999999994</v>
      </c>
      <c r="I53" s="254">
        <f t="shared" si="4"/>
        <v>102234.00599999999</v>
      </c>
      <c r="J53" s="254">
        <f t="shared" si="4"/>
        <v>123506.67839999998</v>
      </c>
      <c r="K53" s="254">
        <f t="shared" si="4"/>
        <v>143470.62187499995</v>
      </c>
      <c r="L53" s="254">
        <f t="shared" si="4"/>
        <v>161404.44960937495</v>
      </c>
      <c r="M53" s="254">
        <f t="shared" si="4"/>
        <v>177544.89457031246</v>
      </c>
      <c r="N53" s="254">
        <f t="shared" ref="N53:Q53" si="5">N45*N51</f>
        <v>195299.38402734371</v>
      </c>
      <c r="O53" s="254">
        <f t="shared" si="5"/>
        <v>209946.8378293945</v>
      </c>
      <c r="P53" s="254">
        <f t="shared" si="5"/>
        <v>220444.17972086425</v>
      </c>
      <c r="Q53" s="254">
        <f t="shared" si="5"/>
        <v>231466.38870690746</v>
      </c>
      <c r="AD53" s="30"/>
    </row>
    <row r="54" spans="3:30" outlineLevel="1" x14ac:dyDescent="0.2">
      <c r="H54" s="83"/>
      <c r="K54" s="84"/>
      <c r="M54" s="83"/>
      <c r="P54" s="84"/>
      <c r="AD54" s="30"/>
    </row>
    <row r="55" spans="3:30" outlineLevel="1" x14ac:dyDescent="0.2">
      <c r="C55" s="30" t="s">
        <v>34</v>
      </c>
      <c r="D55" s="2" t="s">
        <v>35</v>
      </c>
      <c r="E55" s="258">
        <f>EZJ!T43</f>
        <v>5009</v>
      </c>
      <c r="F55" s="258">
        <f>EZJ!U43</f>
        <v>2303</v>
      </c>
      <c r="G55" s="258">
        <f>EZJ!V43</f>
        <v>1000</v>
      </c>
      <c r="H55" s="258">
        <f>EZJ!W43</f>
        <v>2922.7577499999998</v>
      </c>
      <c r="I55" s="258">
        <f>EZJ!X43</f>
        <v>4622.0868539999992</v>
      </c>
      <c r="J55" s="258">
        <f>EZJ!Y43</f>
        <v>5748.4519595999991</v>
      </c>
      <c r="K55" s="258">
        <f>EZJ!Z43</f>
        <v>6671.3839171874988</v>
      </c>
      <c r="L55" s="258">
        <f>EZJ!AA43</f>
        <v>7666.7113564453102</v>
      </c>
      <c r="M55" s="41">
        <f>M56*M$53/Units</f>
        <v>8644.2170543920874</v>
      </c>
      <c r="N55" s="41">
        <f>N56*N$53/Units</f>
        <v>9667.3195093535141</v>
      </c>
      <c r="O55" s="41">
        <f>O56*O$53/Units</f>
        <v>10497.341891469725</v>
      </c>
      <c r="P55" s="41">
        <f>P56*P$53/Units</f>
        <v>11132.431075903645</v>
      </c>
      <c r="Q55" s="41">
        <f>Q56*Q$53/Units</f>
        <v>11804.78582405228</v>
      </c>
      <c r="AD55" s="30"/>
    </row>
    <row r="56" spans="3:30" outlineLevel="1" x14ac:dyDescent="0.2">
      <c r="C56" s="31" t="s">
        <v>36</v>
      </c>
      <c r="D56" s="2" t="s">
        <v>37</v>
      </c>
      <c r="E56" s="224">
        <f t="shared" ref="E56:L56" si="6">E55/E$53*Units</f>
        <v>4.6491122228306772</v>
      </c>
      <c r="F56" s="224">
        <f t="shared" si="6"/>
        <v>3.9090878229283366</v>
      </c>
      <c r="G56" s="224">
        <f t="shared" si="6"/>
        <v>4.238365686191405</v>
      </c>
      <c r="H56" s="224">
        <f t="shared" si="6"/>
        <v>4.3232288158282044</v>
      </c>
      <c r="I56" s="224">
        <f t="shared" si="6"/>
        <v>4.5210855319510799</v>
      </c>
      <c r="J56" s="224">
        <f t="shared" si="6"/>
        <v>4.654365281351458</v>
      </c>
      <c r="K56" s="224">
        <f t="shared" si="6"/>
        <v>4.6500000000000004</v>
      </c>
      <c r="L56" s="224">
        <f t="shared" si="6"/>
        <v>4.75</v>
      </c>
      <c r="M56" s="40">
        <v>4.8687499999999995</v>
      </c>
      <c r="N56" s="40">
        <v>4.95</v>
      </c>
      <c r="O56" s="40">
        <v>5</v>
      </c>
      <c r="P56" s="40">
        <v>5.05</v>
      </c>
      <c r="Q56" s="40">
        <v>5.0999999999999996</v>
      </c>
      <c r="AD56" s="30"/>
    </row>
    <row r="57" spans="3:30" outlineLevel="1" x14ac:dyDescent="0.2">
      <c r="C57" s="30"/>
      <c r="D57" s="30"/>
      <c r="E57" s="30"/>
      <c r="F57" s="30"/>
      <c r="G57" s="30"/>
      <c r="H57" s="129"/>
      <c r="I57" s="129"/>
      <c r="J57" s="129"/>
      <c r="K57" s="129"/>
      <c r="L57" s="129"/>
      <c r="M57" s="83"/>
      <c r="N57" s="83"/>
      <c r="O57" s="83"/>
      <c r="P57" s="83"/>
      <c r="Q57" s="83"/>
      <c r="AD57" s="30"/>
    </row>
    <row r="58" spans="3:30" outlineLevel="1" x14ac:dyDescent="0.2">
      <c r="C58" s="30" t="s">
        <v>38</v>
      </c>
      <c r="D58" s="2" t="s">
        <v>35</v>
      </c>
      <c r="E58" s="259">
        <f>EZJ!T46</f>
        <v>1376</v>
      </c>
      <c r="F58" s="259">
        <f>EZJ!U46</f>
        <v>706</v>
      </c>
      <c r="G58" s="259">
        <f>EZJ!V46</f>
        <v>458</v>
      </c>
      <c r="H58" s="259">
        <f>EZJ!W46</f>
        <v>1226.91075</v>
      </c>
      <c r="I58" s="259">
        <f>EZJ!X46</f>
        <v>1463.682213</v>
      </c>
      <c r="J58" s="259">
        <f>EZJ!Y46</f>
        <v>1598.0485835999996</v>
      </c>
      <c r="K58" s="259">
        <f>EZJ!Z46</f>
        <v>1865.1180843749994</v>
      </c>
      <c r="L58" s="259">
        <f>EZJ!AA46</f>
        <v>2178.9600697265619</v>
      </c>
      <c r="M58" s="33">
        <f>M59*M$53/Units</f>
        <v>2450.1195450703117</v>
      </c>
      <c r="N58" s="33">
        <f>N59*N$53/Units</f>
        <v>2773.2512531882803</v>
      </c>
      <c r="O58" s="33">
        <f>O59*O$53/Units</f>
        <v>3044.2291485262203</v>
      </c>
      <c r="P58" s="33">
        <f>P59*P$53/Units</f>
        <v>3240.5294418967042</v>
      </c>
      <c r="Q58" s="33">
        <f>Q59*Q$53/Units</f>
        <v>3448.8491917329211</v>
      </c>
      <c r="AD58" s="30"/>
    </row>
    <row r="59" spans="3:30" outlineLevel="1" x14ac:dyDescent="0.2">
      <c r="C59" s="31" t="s">
        <v>36</v>
      </c>
      <c r="D59" s="2" t="s">
        <v>37</v>
      </c>
      <c r="E59" s="224">
        <f t="shared" ref="E59:L59" si="7">E58/E$53*Units</f>
        <v>1.2771368374156542</v>
      </c>
      <c r="F59" s="224">
        <f t="shared" si="7"/>
        <v>1.1983569270462029</v>
      </c>
      <c r="G59" s="224">
        <f t="shared" si="7"/>
        <v>1.9411714842756631</v>
      </c>
      <c r="H59" s="224">
        <f t="shared" si="7"/>
        <v>1.8147983386065418</v>
      </c>
      <c r="I59" s="224">
        <f t="shared" si="7"/>
        <v>1.4316979939140801</v>
      </c>
      <c r="J59" s="224">
        <f t="shared" si="7"/>
        <v>1.2938964955598709</v>
      </c>
      <c r="K59" s="224">
        <f t="shared" si="7"/>
        <v>1.3</v>
      </c>
      <c r="L59" s="224">
        <f t="shared" si="7"/>
        <v>1.35</v>
      </c>
      <c r="M59" s="40">
        <v>1.38</v>
      </c>
      <c r="N59" s="40">
        <v>1.42</v>
      </c>
      <c r="O59" s="40">
        <v>1.45</v>
      </c>
      <c r="P59" s="40">
        <v>1.47</v>
      </c>
      <c r="Q59" s="40">
        <v>1.49</v>
      </c>
      <c r="AD59" s="30"/>
    </row>
    <row r="60" spans="3:30" outlineLevel="1" x14ac:dyDescent="0.2">
      <c r="M60" s="83"/>
      <c r="P60" s="84"/>
      <c r="AD60" s="30"/>
    </row>
    <row r="61" spans="3:30" outlineLevel="1" x14ac:dyDescent="0.2">
      <c r="C61" s="30" t="s">
        <v>40</v>
      </c>
      <c r="D61" s="2" t="s">
        <v>37</v>
      </c>
      <c r="E61" s="224">
        <f t="shared" ref="E61:L61" si="8">-E80/E45*Units</f>
        <v>3.4457503274281382</v>
      </c>
      <c r="F61" s="224">
        <f t="shared" si="8"/>
        <v>4.2113639980900839</v>
      </c>
      <c r="G61" s="224">
        <f t="shared" si="8"/>
        <v>4.5340050377833752</v>
      </c>
      <c r="H61" s="224">
        <f t="shared" si="8"/>
        <v>3.6907548522745226</v>
      </c>
      <c r="I61" s="224">
        <f t="shared" si="8"/>
        <v>3.5541765413643489</v>
      </c>
      <c r="J61" s="224">
        <f t="shared" si="8"/>
        <v>3.542708602569093</v>
      </c>
      <c r="K61" s="224">
        <f t="shared" si="8"/>
        <v>3.55</v>
      </c>
      <c r="L61" s="224">
        <f t="shared" si="8"/>
        <v>3.6000000000000005</v>
      </c>
      <c r="M61" s="40">
        <v>3.65</v>
      </c>
      <c r="N61" s="40">
        <v>3.6999999999999997</v>
      </c>
      <c r="O61" s="40">
        <v>3.7499999999999996</v>
      </c>
      <c r="P61" s="40">
        <v>3.7999999999999994</v>
      </c>
      <c r="Q61" s="40">
        <v>3.8499999999999992</v>
      </c>
      <c r="AD61" s="30"/>
    </row>
    <row r="62" spans="3:30" outlineLevel="1" x14ac:dyDescent="0.2">
      <c r="C62" s="30"/>
      <c r="H62" s="83"/>
      <c r="K62" s="84"/>
      <c r="M62" s="83"/>
      <c r="N62" s="83"/>
      <c r="O62" s="83"/>
      <c r="P62" s="83"/>
      <c r="Q62" s="83"/>
      <c r="AD62" s="30"/>
    </row>
    <row r="63" spans="3:30" outlineLevel="1" x14ac:dyDescent="0.2">
      <c r="C63" s="30" t="s">
        <v>42</v>
      </c>
      <c r="D63" s="2" t="s">
        <v>37</v>
      </c>
      <c r="E63" s="224">
        <f t="shared" ref="E63:L63" si="9">-E81/E45*Units</f>
        <v>1.2201006410698283</v>
      </c>
      <c r="F63" s="224">
        <f t="shared" si="9"/>
        <v>1.1475409836065573</v>
      </c>
      <c r="G63" s="224">
        <f t="shared" si="9"/>
        <v>1.1125104953820319</v>
      </c>
      <c r="H63" s="224">
        <f t="shared" si="9"/>
        <v>1.0815789793512476</v>
      </c>
      <c r="I63" s="224">
        <f t="shared" si="9"/>
        <v>1.1199999999999999</v>
      </c>
      <c r="J63" s="224">
        <f t="shared" si="9"/>
        <v>1.1786456987154537</v>
      </c>
      <c r="K63" s="224">
        <f t="shared" si="9"/>
        <v>1.2</v>
      </c>
      <c r="L63" s="224">
        <f t="shared" si="9"/>
        <v>1.22</v>
      </c>
      <c r="M63" s="224">
        <f>INDEX(M64:M66,MATCH(Scenario,$C64:$C66,0),1)</f>
        <v>1.25</v>
      </c>
      <c r="N63" s="224">
        <f>INDEX(N64:N66,MATCH(Scenario,$C64:$C66,0),1)</f>
        <v>1.27</v>
      </c>
      <c r="O63" s="224">
        <f>INDEX(O64:O66,MATCH(Scenario,$C64:$C66,0),1)</f>
        <v>1.3</v>
      </c>
      <c r="P63" s="224">
        <f>INDEX(P64:P66,MATCH(Scenario,$C64:$C66,0),1)</f>
        <v>1.32</v>
      </c>
      <c r="Q63" s="224">
        <f>INDEX(Q64:Q66,MATCH(Scenario,$C64:$C66,0),1)</f>
        <v>1.32</v>
      </c>
      <c r="AD63" s="30"/>
    </row>
    <row r="64" spans="3:30" outlineLevel="1" x14ac:dyDescent="0.2">
      <c r="C64" s="61" t="str">
        <f>EZJ!$C$31</f>
        <v>Base</v>
      </c>
      <c r="D64" s="2" t="s">
        <v>13</v>
      </c>
      <c r="H64" s="83"/>
      <c r="K64" s="84"/>
      <c r="M64" s="40">
        <v>1.25</v>
      </c>
      <c r="N64" s="40">
        <v>1.27</v>
      </c>
      <c r="O64" s="40">
        <v>1.3</v>
      </c>
      <c r="P64" s="40">
        <v>1.32</v>
      </c>
      <c r="Q64" s="40">
        <v>1.32</v>
      </c>
      <c r="AD64" s="30"/>
    </row>
    <row r="65" spans="2:30" outlineLevel="1" x14ac:dyDescent="0.2">
      <c r="C65" s="61" t="str">
        <f>EZJ!$C$32</f>
        <v>Downside</v>
      </c>
      <c r="D65" s="2" t="s">
        <v>13</v>
      </c>
      <c r="H65" s="83"/>
      <c r="K65" s="84"/>
      <c r="M65" s="40">
        <v>1.45</v>
      </c>
      <c r="N65" s="40">
        <v>1.5</v>
      </c>
      <c r="O65" s="40">
        <v>1.5</v>
      </c>
      <c r="P65" s="40">
        <v>1.5</v>
      </c>
      <c r="Q65" s="40">
        <v>1.5</v>
      </c>
      <c r="AD65" s="30"/>
    </row>
    <row r="66" spans="2:30" outlineLevel="1" x14ac:dyDescent="0.2">
      <c r="C66" s="61" t="str">
        <f>EZJ!$C$33</f>
        <v>XT Downside</v>
      </c>
      <c r="D66" s="2" t="s">
        <v>13</v>
      </c>
      <c r="H66" s="83"/>
      <c r="K66" s="84"/>
      <c r="M66" s="40">
        <v>1.55</v>
      </c>
      <c r="N66" s="40">
        <v>1.6</v>
      </c>
      <c r="O66" s="40">
        <v>1.6</v>
      </c>
      <c r="P66" s="40">
        <v>1.6</v>
      </c>
      <c r="Q66" s="40">
        <v>1.6</v>
      </c>
      <c r="AD66" s="30"/>
    </row>
    <row r="67" spans="2:30" outlineLevel="1" x14ac:dyDescent="0.2">
      <c r="H67" s="83"/>
      <c r="K67" s="84"/>
      <c r="M67" s="83"/>
      <c r="P67" s="84"/>
      <c r="AD67" s="30"/>
    </row>
    <row r="68" spans="2:30" outlineLevel="1" x14ac:dyDescent="0.2">
      <c r="C68" s="30" t="s">
        <v>43</v>
      </c>
      <c r="D68" s="2" t="s">
        <v>37</v>
      </c>
      <c r="E68" s="224">
        <f t="shared" ref="E68:L68" si="10">-E87/E$45*Units</f>
        <v>0.21282828979113533</v>
      </c>
      <c r="F68" s="224">
        <f t="shared" si="10"/>
        <v>0.36447556899570266</v>
      </c>
      <c r="G68" s="224">
        <f t="shared" si="10"/>
        <v>0.66570708888089247</v>
      </c>
      <c r="H68" s="224">
        <f t="shared" si="10"/>
        <v>0.33662935550126999</v>
      </c>
      <c r="I68" s="224">
        <f t="shared" si="10"/>
        <v>0.22083530827286982</v>
      </c>
      <c r="J68" s="224">
        <f t="shared" si="10"/>
        <v>0.20708344102763721</v>
      </c>
      <c r="K68" s="224">
        <f t="shared" si="10"/>
        <v>0.2</v>
      </c>
      <c r="L68" s="224">
        <f t="shared" si="10"/>
        <v>0.2</v>
      </c>
      <c r="M68" s="40">
        <v>0.21</v>
      </c>
      <c r="N68" s="40">
        <v>0.21</v>
      </c>
      <c r="O68" s="40">
        <v>0.22</v>
      </c>
      <c r="P68" s="40">
        <v>0.22</v>
      </c>
      <c r="Q68" s="40">
        <v>0.22</v>
      </c>
      <c r="AD68" s="30"/>
    </row>
    <row r="69" spans="2:30" outlineLevel="1" x14ac:dyDescent="0.2">
      <c r="C69" s="264" t="s">
        <v>226</v>
      </c>
      <c r="D69" s="2" t="s">
        <v>37</v>
      </c>
      <c r="E69" s="224"/>
      <c r="F69" s="224">
        <f t="shared" ref="F69:L69" si="11">-F95/F$45*Units</f>
        <v>3.8198312907846574E-2</v>
      </c>
      <c r="G69" s="224">
        <f t="shared" si="11"/>
        <v>0.12594458438287154</v>
      </c>
      <c r="H69" s="224">
        <f t="shared" si="11"/>
        <v>5.8354905749808589E-2</v>
      </c>
      <c r="I69" s="224">
        <f t="shared" si="11"/>
        <v>4.1682093114709697E-2</v>
      </c>
      <c r="J69" s="224">
        <f t="shared" si="11"/>
        <v>3.7345909002947236E-2</v>
      </c>
      <c r="K69" s="224">
        <f t="shared" si="11"/>
        <v>3.3956360562753717E-2</v>
      </c>
      <c r="L69" s="224">
        <f t="shared" si="11"/>
        <v>3.258343161133663E-2</v>
      </c>
      <c r="M69" s="40">
        <v>0.03</v>
      </c>
      <c r="N69" s="40">
        <v>3.5000000000000003E-2</v>
      </c>
      <c r="O69" s="40">
        <v>3.5000000000000003E-2</v>
      </c>
      <c r="P69" s="40">
        <v>0.04</v>
      </c>
      <c r="Q69" s="40">
        <v>0.04</v>
      </c>
    </row>
    <row r="70" spans="2:30" outlineLevel="1" x14ac:dyDescent="0.2">
      <c r="C70" s="30"/>
      <c r="D70" s="2"/>
      <c r="E70" s="224"/>
      <c r="F70" s="224"/>
      <c r="G70" s="224"/>
      <c r="H70" s="224"/>
      <c r="I70" s="224"/>
      <c r="J70" s="224"/>
      <c r="K70" s="224"/>
      <c r="L70" s="224"/>
      <c r="M70" s="330"/>
      <c r="N70" s="330"/>
      <c r="O70" s="330"/>
      <c r="P70" s="330"/>
      <c r="Q70" s="330"/>
      <c r="AD70" s="30"/>
    </row>
    <row r="71" spans="2:30" outlineLevel="1" x14ac:dyDescent="0.2">
      <c r="C71" s="68" t="s">
        <v>53</v>
      </c>
      <c r="D71" s="2" t="s">
        <v>37</v>
      </c>
      <c r="E71" s="224">
        <f t="shared" ref="E71:L71" si="12">-E118/E45*Units</f>
        <v>0.84786654718411802</v>
      </c>
      <c r="F71" s="224">
        <f t="shared" si="12"/>
        <v>1.1061594779563901</v>
      </c>
      <c r="G71" s="224">
        <f t="shared" si="12"/>
        <v>0.44680340650113948</v>
      </c>
      <c r="H71" s="224">
        <f t="shared" si="12"/>
        <v>0.69683061703187865</v>
      </c>
      <c r="I71" s="224">
        <f t="shared" si="12"/>
        <v>0.67167061654573956</v>
      </c>
      <c r="J71" s="224">
        <f t="shared" si="12"/>
        <v>0.77135430128454663</v>
      </c>
      <c r="K71" s="224">
        <f t="shared" si="12"/>
        <v>0.89999999999999991</v>
      </c>
      <c r="L71" s="224">
        <f t="shared" si="12"/>
        <v>0.93</v>
      </c>
      <c r="M71" s="40">
        <v>0.8</v>
      </c>
      <c r="N71" s="40">
        <v>0.6</v>
      </c>
      <c r="O71" s="40">
        <v>0.4</v>
      </c>
      <c r="P71" s="40">
        <v>0.4</v>
      </c>
      <c r="Q71" s="40">
        <v>0.4</v>
      </c>
      <c r="AD71" s="30"/>
    </row>
    <row r="72" spans="2:30" outlineLevel="1" x14ac:dyDescent="0.2">
      <c r="C72" s="36" t="s">
        <v>44</v>
      </c>
      <c r="D72" s="2" t="s">
        <v>37</v>
      </c>
      <c r="E72" s="224">
        <f t="shared" ref="E72:L72" si="13">-E88/E$45*Units</f>
        <v>0.22144481974219343</v>
      </c>
      <c r="F72" s="224">
        <f t="shared" si="13"/>
        <v>0.43768900206907524</v>
      </c>
      <c r="G72" s="224">
        <f t="shared" si="13"/>
        <v>0.78865299268321942</v>
      </c>
      <c r="H72" s="224">
        <f t="shared" si="13"/>
        <v>0.36871233942222381</v>
      </c>
      <c r="I72" s="224">
        <f t="shared" si="13"/>
        <v>0.25083530827286982</v>
      </c>
      <c r="J72" s="224">
        <f t="shared" si="13"/>
        <v>0.23708344102763723</v>
      </c>
      <c r="K72" s="224">
        <f t="shared" si="13"/>
        <v>0.22999999999999998</v>
      </c>
      <c r="L72" s="224">
        <f t="shared" si="13"/>
        <v>0.22999999999999998</v>
      </c>
      <c r="M72" s="40">
        <v>0.24</v>
      </c>
      <c r="N72" s="40">
        <v>0.24</v>
      </c>
      <c r="O72" s="40">
        <v>0.25</v>
      </c>
      <c r="P72" s="40">
        <v>0.25</v>
      </c>
      <c r="Q72" s="40">
        <v>0.25</v>
      </c>
      <c r="AD72" s="30"/>
    </row>
    <row r="73" spans="2:30" outlineLevel="1" x14ac:dyDescent="0.2">
      <c r="C73" s="30"/>
      <c r="H73" s="83"/>
      <c r="K73" s="84"/>
      <c r="M73" s="83"/>
      <c r="P73" s="84"/>
      <c r="AD73" s="30"/>
    </row>
    <row r="74" spans="2:30" outlineLevel="1" x14ac:dyDescent="0.2">
      <c r="C74" s="30" t="s">
        <v>45</v>
      </c>
      <c r="D74" s="2" t="s">
        <v>13</v>
      </c>
      <c r="E74" s="257">
        <f>EZJ!T61</f>
        <v>0.1883720930232558</v>
      </c>
      <c r="F74" s="257">
        <f>EZJ!U61</f>
        <v>0.15239591516103693</v>
      </c>
      <c r="G74" s="257">
        <f>EZJ!V61</f>
        <v>0.1718146718146718</v>
      </c>
      <c r="H74" s="257">
        <f>EZJ!W61</f>
        <v>0.2357134231846493</v>
      </c>
      <c r="I74" s="257">
        <f>EZJ!X61</f>
        <v>0.364774720583662</v>
      </c>
      <c r="J74" s="257">
        <f>EZJ!Y61</f>
        <v>0.24999999999999969</v>
      </c>
      <c r="K74" s="257">
        <f>EZJ!Z61</f>
        <v>0.25</v>
      </c>
      <c r="L74" s="257">
        <f>EZJ!AA61</f>
        <v>0.25</v>
      </c>
      <c r="M74" s="47">
        <f>L74</f>
        <v>0.25</v>
      </c>
      <c r="N74" s="47">
        <f t="shared" ref="N74:Q74" si="14">M74</f>
        <v>0.25</v>
      </c>
      <c r="O74" s="47">
        <f t="shared" si="14"/>
        <v>0.25</v>
      </c>
      <c r="P74" s="47">
        <f t="shared" si="14"/>
        <v>0.25</v>
      </c>
      <c r="Q74" s="47">
        <f t="shared" si="14"/>
        <v>0.25</v>
      </c>
      <c r="AD74" s="30"/>
    </row>
    <row r="75" spans="2:30" x14ac:dyDescent="0.2">
      <c r="H75" s="83"/>
      <c r="K75" s="84"/>
      <c r="M75" s="83"/>
      <c r="P75" s="84"/>
      <c r="AD75" s="30"/>
    </row>
    <row r="76" spans="2:30" x14ac:dyDescent="0.2">
      <c r="B76" s="242"/>
      <c r="C76" s="242"/>
      <c r="D76" s="242"/>
      <c r="E76" s="246"/>
      <c r="F76" s="440"/>
      <c r="G76" s="404" t="s">
        <v>22</v>
      </c>
      <c r="H76" s="404"/>
      <c r="I76" s="404"/>
      <c r="J76" s="422">
        <v>0</v>
      </c>
      <c r="K76" s="423"/>
      <c r="L76" s="246"/>
      <c r="M76" s="246"/>
      <c r="N76" s="246"/>
      <c r="O76" s="246"/>
      <c r="P76" s="246"/>
      <c r="Q76" s="246"/>
    </row>
    <row r="77" spans="2:30" x14ac:dyDescent="0.2">
      <c r="B77" s="243" t="str">
        <f>Company_Name&amp;" - UFCF Projections:"</f>
        <v>easyJet plc - UFCF Projections:</v>
      </c>
      <c r="C77" s="243"/>
      <c r="D77" s="244" t="str">
        <f>$D$6</f>
        <v>Units:</v>
      </c>
      <c r="E77" s="37">
        <f>$E$43</f>
        <v>43738</v>
      </c>
      <c r="F77" s="441">
        <f>$F$43</f>
        <v>44104</v>
      </c>
      <c r="G77" s="37">
        <f>$G$43</f>
        <v>44469</v>
      </c>
      <c r="H77" s="408">
        <f>$H$43</f>
        <v>44834</v>
      </c>
      <c r="I77" s="37">
        <f>$I$43</f>
        <v>45199</v>
      </c>
      <c r="J77" s="37">
        <f>$J$43</f>
        <v>45565</v>
      </c>
      <c r="K77" s="37">
        <f>$K$43</f>
        <v>45930</v>
      </c>
      <c r="L77" s="37">
        <f>$L$43</f>
        <v>46295</v>
      </c>
      <c r="M77" s="37">
        <f>$M$43</f>
        <v>46660</v>
      </c>
      <c r="N77" s="37">
        <f>$N$43</f>
        <v>47026</v>
      </c>
      <c r="O77" s="37">
        <f>$O$43</f>
        <v>47391</v>
      </c>
      <c r="P77" s="37">
        <f>$P$43</f>
        <v>47756</v>
      </c>
      <c r="Q77" s="37">
        <f>$Q$43</f>
        <v>48121</v>
      </c>
    </row>
    <row r="78" spans="2:30" outlineLevel="1" x14ac:dyDescent="0.2"/>
    <row r="79" spans="2:30" outlineLevel="1" x14ac:dyDescent="0.2">
      <c r="C79" s="101" t="s">
        <v>227</v>
      </c>
      <c r="D79" s="70" t="s">
        <v>35</v>
      </c>
      <c r="E79" s="248">
        <f>EZJ!T94</f>
        <v>6385</v>
      </c>
      <c r="F79" s="248">
        <f>EZJ!U94</f>
        <v>3009</v>
      </c>
      <c r="G79" s="248">
        <f>EZJ!V94</f>
        <v>1458</v>
      </c>
      <c r="H79" s="248">
        <f>EZJ!W94</f>
        <v>4149.6684999999998</v>
      </c>
      <c r="I79" s="248">
        <f>EZJ!X94</f>
        <v>6085.7690669999993</v>
      </c>
      <c r="J79" s="248">
        <f>EZJ!Y94</f>
        <v>7346.500543199998</v>
      </c>
      <c r="K79" s="248">
        <f>EZJ!Z94</f>
        <v>8536.5020015624978</v>
      </c>
      <c r="L79" s="248">
        <f>EZJ!AA94</f>
        <v>9845.6714261718716</v>
      </c>
      <c r="M79" s="54">
        <f>M55+M58</f>
        <v>11094.3365994624</v>
      </c>
      <c r="N79" s="54">
        <f>N55+N58</f>
        <v>12440.570762541794</v>
      </c>
      <c r="O79" s="54">
        <f>O55+O58</f>
        <v>13541.571039995946</v>
      </c>
      <c r="P79" s="54">
        <f>P55+P58</f>
        <v>14372.960517800349</v>
      </c>
      <c r="Q79" s="54">
        <f>Q55+Q58</f>
        <v>15253.635015785201</v>
      </c>
    </row>
    <row r="80" spans="2:30" outlineLevel="1" x14ac:dyDescent="0.2">
      <c r="C80" s="31" t="s">
        <v>68</v>
      </c>
      <c r="D80" s="2" t="s">
        <v>35</v>
      </c>
      <c r="E80" s="252">
        <f>EZJ!T95</f>
        <v>-3999</v>
      </c>
      <c r="F80" s="252">
        <f>EZJ!U95</f>
        <v>-2646</v>
      </c>
      <c r="G80" s="252">
        <f>EZJ!V95</f>
        <v>-1512</v>
      </c>
      <c r="H80" s="252">
        <f>EZJ!W95</f>
        <v>-3036.79</v>
      </c>
      <c r="I80" s="252">
        <f>EZJ!X95</f>
        <v>-4094.1768000000002</v>
      </c>
      <c r="J80" s="252">
        <f>EZJ!Y95</f>
        <v>-4778.1396599999989</v>
      </c>
      <c r="K80" s="252">
        <f>EZJ!Z95</f>
        <v>-5506.1698124999975</v>
      </c>
      <c r="L80" s="252">
        <f>EZJ!AA95</f>
        <v>-6281.6866874999987</v>
      </c>
      <c r="M80" s="249">
        <f>-M61*M$45/Units</f>
        <v>-7005.8255695312482</v>
      </c>
      <c r="N80" s="249">
        <f>-N61*N$45/Units</f>
        <v>-7811.9753610937487</v>
      </c>
      <c r="O80" s="249">
        <f>-O61*O$45/Units</f>
        <v>-8511.3582903808565</v>
      </c>
      <c r="P80" s="249">
        <f>-P61*P$45/Units</f>
        <v>-9056.0852209652312</v>
      </c>
      <c r="Q80" s="249">
        <f>-Q61*Q$45/Units</f>
        <v>-9634.0064488820917</v>
      </c>
    </row>
    <row r="81" spans="3:17" outlineLevel="1" x14ac:dyDescent="0.2">
      <c r="C81" s="31" t="s">
        <v>69</v>
      </c>
      <c r="D81" s="21" t="s">
        <v>35</v>
      </c>
      <c r="E81" s="253">
        <f>EZJ!T96</f>
        <v>-1416</v>
      </c>
      <c r="F81" s="253">
        <f>EZJ!U96</f>
        <v>-721</v>
      </c>
      <c r="G81" s="253">
        <f>EZJ!V96</f>
        <v>-371</v>
      </c>
      <c r="H81" s="253">
        <f>EZJ!W96</f>
        <v>-889.93399999999997</v>
      </c>
      <c r="I81" s="253">
        <f>EZJ!X96</f>
        <v>-1290.16608</v>
      </c>
      <c r="J81" s="253">
        <f>EZJ!Y96</f>
        <v>-1589.6689199999998</v>
      </c>
      <c r="K81" s="253">
        <f>EZJ!Z96</f>
        <v>-1861.2404999999992</v>
      </c>
      <c r="L81" s="253">
        <f>EZJ!AA96</f>
        <v>-2128.7938218749991</v>
      </c>
      <c r="M81" s="251">
        <f>-M63*M$45/Units</f>
        <v>-2399.2553320312495</v>
      </c>
      <c r="N81" s="251">
        <f>-N63*N$45/Units</f>
        <v>-2681.4077590781249</v>
      </c>
      <c r="O81" s="251">
        <f>-O63*O$45/Units</f>
        <v>-2950.6042073320305</v>
      </c>
      <c r="P81" s="251">
        <f>-P63*P$45/Units</f>
        <v>-3145.7980241247656</v>
      </c>
      <c r="Q81" s="251">
        <f>-Q63*Q$45/Units</f>
        <v>-3303.087925331004</v>
      </c>
    </row>
    <row r="82" spans="3:17" outlineLevel="1" x14ac:dyDescent="0.2">
      <c r="C82" s="20" t="s">
        <v>70</v>
      </c>
      <c r="D82" s="2" t="s">
        <v>35</v>
      </c>
      <c r="E82" s="250">
        <f>SUM(E79:E81)</f>
        <v>970</v>
      </c>
      <c r="F82" s="250">
        <f t="shared" ref="F82:L82" si="15">SUM(F79:F81)</f>
        <v>-358</v>
      </c>
      <c r="G82" s="250">
        <f t="shared" si="15"/>
        <v>-425</v>
      </c>
      <c r="H82" s="250">
        <f t="shared" si="15"/>
        <v>222.94449999999983</v>
      </c>
      <c r="I82" s="250">
        <f t="shared" si="15"/>
        <v>701.42618699999912</v>
      </c>
      <c r="J82" s="250">
        <f t="shared" si="15"/>
        <v>978.69196319999924</v>
      </c>
      <c r="K82" s="250">
        <f t="shared" si="15"/>
        <v>1169.091689062501</v>
      </c>
      <c r="L82" s="250">
        <f t="shared" si="15"/>
        <v>1435.1909167968738</v>
      </c>
      <c r="M82" s="250">
        <f>SUM(M79:M81)</f>
        <v>1689.2556978999023</v>
      </c>
      <c r="N82" s="250">
        <f t="shared" ref="N82:Q82" si="16">SUM(N79:N81)</f>
        <v>1947.1876423699209</v>
      </c>
      <c r="O82" s="250">
        <f t="shared" si="16"/>
        <v>2079.6085422830593</v>
      </c>
      <c r="P82" s="250">
        <f t="shared" si="16"/>
        <v>2171.0772727103526</v>
      </c>
      <c r="Q82" s="250">
        <f t="shared" si="16"/>
        <v>2316.5406415721054</v>
      </c>
    </row>
    <row r="83" spans="3:17" outlineLevel="1" x14ac:dyDescent="0.2">
      <c r="C83" s="19"/>
      <c r="D83" s="2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</row>
    <row r="84" spans="3:17" outlineLevel="1" x14ac:dyDescent="0.2">
      <c r="C84" s="262" t="s">
        <v>228</v>
      </c>
      <c r="D84" s="70" t="s">
        <v>13</v>
      </c>
      <c r="E84" s="88"/>
      <c r="F84" s="88">
        <f>F79/E79-1</f>
        <v>-0.5287392325763508</v>
      </c>
      <c r="G84" s="88">
        <f t="shared" ref="G84:Q84" si="17">G79/F79-1</f>
        <v>-0.51545363908275177</v>
      </c>
      <c r="H84" s="88">
        <f t="shared" si="17"/>
        <v>1.8461375171467762</v>
      </c>
      <c r="I84" s="88">
        <f t="shared" si="17"/>
        <v>0.46656752629758258</v>
      </c>
      <c r="J84" s="88">
        <f t="shared" si="17"/>
        <v>0.20716058436004392</v>
      </c>
      <c r="K84" s="88">
        <f t="shared" si="17"/>
        <v>0.1619820826752647</v>
      </c>
      <c r="L84" s="88">
        <f t="shared" si="17"/>
        <v>0.15336134453781503</v>
      </c>
      <c r="M84" s="88">
        <f t="shared" si="17"/>
        <v>0.12682377049180338</v>
      </c>
      <c r="N84" s="88">
        <f t="shared" si="17"/>
        <v>0.1213442688537707</v>
      </c>
      <c r="O84" s="88">
        <f t="shared" si="17"/>
        <v>8.8500784929356424E-2</v>
      </c>
      <c r="P84" s="88">
        <f t="shared" si="17"/>
        <v>6.1395348837209429E-2</v>
      </c>
      <c r="Q84" s="88">
        <f t="shared" si="17"/>
        <v>6.1273006134969332E-2</v>
      </c>
    </row>
    <row r="85" spans="3:17" outlineLevel="1" x14ac:dyDescent="0.2">
      <c r="C85" s="19"/>
      <c r="D85" s="2"/>
      <c r="E85" s="250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</row>
    <row r="86" spans="3:17" outlineLevel="1" x14ac:dyDescent="0.2">
      <c r="C86" s="19" t="s">
        <v>71</v>
      </c>
      <c r="D86" s="30"/>
      <c r="G86" s="107"/>
    </row>
    <row r="87" spans="3:17" outlineLevel="1" x14ac:dyDescent="0.2">
      <c r="C87" s="31" t="s">
        <v>72</v>
      </c>
      <c r="D87" s="2" t="s">
        <v>35</v>
      </c>
      <c r="E87" s="252">
        <f>EZJ!T100</f>
        <v>-247</v>
      </c>
      <c r="F87" s="252">
        <f>EZJ!U100</f>
        <v>-229</v>
      </c>
      <c r="G87" s="252">
        <f>EZJ!V100</f>
        <v>-222</v>
      </c>
      <c r="H87" s="252">
        <f>EZJ!W100</f>
        <v>-276.98199999999997</v>
      </c>
      <c r="I87" s="252">
        <f>EZJ!X100</f>
        <v>-254.3877</v>
      </c>
      <c r="J87" s="252">
        <f>EZJ!Y100</f>
        <v>-279.29861399999993</v>
      </c>
      <c r="K87" s="252">
        <f>EZJ!Z100</f>
        <v>-310.20674999999989</v>
      </c>
      <c r="L87" s="252">
        <f>EZJ!AA100</f>
        <v>-348.98259374999986</v>
      </c>
      <c r="M87" s="249">
        <f>-M68*M$45/Units</f>
        <v>-403.07489578124989</v>
      </c>
      <c r="N87" s="249">
        <f>-N68*N$45/Units</f>
        <v>-443.38238535937489</v>
      </c>
      <c r="O87" s="249">
        <f>-O68*O$45/Units</f>
        <v>-499.33301970234368</v>
      </c>
      <c r="P87" s="249">
        <f>-P68*P$45/Units</f>
        <v>-524.29967068746089</v>
      </c>
      <c r="Q87" s="249">
        <f>-Q68*Q$45/Units</f>
        <v>-550.51465422183401</v>
      </c>
    </row>
    <row r="88" spans="3:17" outlineLevel="1" x14ac:dyDescent="0.2">
      <c r="C88" s="31" t="s">
        <v>74</v>
      </c>
      <c r="D88" s="21" t="s">
        <v>35</v>
      </c>
      <c r="E88" s="253">
        <f>EZJ!T102</f>
        <v>-257</v>
      </c>
      <c r="F88" s="253">
        <f>EZJ!U102</f>
        <v>-275</v>
      </c>
      <c r="G88" s="253">
        <f>EZJ!V102</f>
        <v>-263</v>
      </c>
      <c r="H88" s="253">
        <f>EZJ!W102</f>
        <v>-303.3802</v>
      </c>
      <c r="I88" s="253">
        <f>EZJ!X102</f>
        <v>-288.94571999999999</v>
      </c>
      <c r="J88" s="253">
        <f>EZJ!Y102</f>
        <v>-319.76036399999998</v>
      </c>
      <c r="K88" s="253">
        <f>EZJ!Z102</f>
        <v>-356.73776249999986</v>
      </c>
      <c r="L88" s="253">
        <f>EZJ!AA102</f>
        <v>-401.32998281249985</v>
      </c>
      <c r="M88" s="251">
        <f>-M72*M$45/Units</f>
        <v>-460.65702374999984</v>
      </c>
      <c r="N88" s="251">
        <f>-N72*N$45/Units</f>
        <v>-506.72272612499989</v>
      </c>
      <c r="O88" s="251">
        <f>-O72*O$45/Units</f>
        <v>-567.42388602539052</v>
      </c>
      <c r="P88" s="251">
        <f>-P72*P$45/Units</f>
        <v>-595.79508032666013</v>
      </c>
      <c r="Q88" s="251">
        <f>-Q72*Q$45/Units</f>
        <v>-625.58483434299308</v>
      </c>
    </row>
    <row r="89" spans="3:17" outlineLevel="1" x14ac:dyDescent="0.2">
      <c r="C89" s="20" t="s">
        <v>75</v>
      </c>
      <c r="D89" s="2" t="s">
        <v>35</v>
      </c>
      <c r="E89" s="250">
        <f>SUM(E87:E88)</f>
        <v>-504</v>
      </c>
      <c r="F89" s="250">
        <f t="shared" ref="F89:L89" si="18">SUM(F87:F88)</f>
        <v>-504</v>
      </c>
      <c r="G89" s="250">
        <f t="shared" si="18"/>
        <v>-485</v>
      </c>
      <c r="H89" s="250">
        <f t="shared" si="18"/>
        <v>-580.36220000000003</v>
      </c>
      <c r="I89" s="250">
        <f t="shared" si="18"/>
        <v>-543.33341999999993</v>
      </c>
      <c r="J89" s="250">
        <f t="shared" si="18"/>
        <v>-599.05897799999991</v>
      </c>
      <c r="K89" s="250">
        <f t="shared" si="18"/>
        <v>-666.94451249999975</v>
      </c>
      <c r="L89" s="250">
        <f t="shared" si="18"/>
        <v>-750.31257656249977</v>
      </c>
      <c r="M89" s="250">
        <f t="shared" ref="M89:Q89" si="19">SUM(M87:M88)</f>
        <v>-863.73191953124979</v>
      </c>
      <c r="N89" s="250">
        <f t="shared" si="19"/>
        <v>-950.10511148437479</v>
      </c>
      <c r="O89" s="250">
        <f t="shared" si="19"/>
        <v>-1066.7569057277342</v>
      </c>
      <c r="P89" s="250">
        <f t="shared" si="19"/>
        <v>-1120.0947510141209</v>
      </c>
      <c r="Q89" s="250">
        <f t="shared" si="19"/>
        <v>-1176.099488564827</v>
      </c>
    </row>
    <row r="90" spans="3:17" outlineLevel="1" x14ac:dyDescent="0.2">
      <c r="C90" s="30"/>
      <c r="D90"/>
      <c r="G90" s="107"/>
    </row>
    <row r="91" spans="3:17" outlineLevel="1" x14ac:dyDescent="0.2">
      <c r="C91" s="19" t="s">
        <v>76</v>
      </c>
      <c r="D91" s="2" t="s">
        <v>35</v>
      </c>
      <c r="E91" s="250">
        <f t="shared" ref="E91:Q91" si="20">E82+E89</f>
        <v>466</v>
      </c>
      <c r="F91" s="250">
        <f t="shared" si="20"/>
        <v>-862</v>
      </c>
      <c r="G91" s="250">
        <f t="shared" si="20"/>
        <v>-910</v>
      </c>
      <c r="H91" s="250">
        <f t="shared" si="20"/>
        <v>-357.4177000000002</v>
      </c>
      <c r="I91" s="250">
        <f t="shared" si="20"/>
        <v>158.09276699999918</v>
      </c>
      <c r="J91" s="250">
        <f t="shared" si="20"/>
        <v>379.63298519999933</v>
      </c>
      <c r="K91" s="250">
        <f t="shared" si="20"/>
        <v>502.14717656250127</v>
      </c>
      <c r="L91" s="250">
        <f t="shared" si="20"/>
        <v>684.87834023437404</v>
      </c>
      <c r="M91" s="250">
        <f t="shared" si="20"/>
        <v>825.52377836865253</v>
      </c>
      <c r="N91" s="250">
        <f t="shared" si="20"/>
        <v>997.08253088554613</v>
      </c>
      <c r="O91" s="250">
        <f t="shared" si="20"/>
        <v>1012.8516365553251</v>
      </c>
      <c r="P91" s="250">
        <f t="shared" si="20"/>
        <v>1050.9825216962317</v>
      </c>
      <c r="Q91" s="250">
        <f t="shared" si="20"/>
        <v>1140.4411530072784</v>
      </c>
    </row>
    <row r="92" spans="3:17" outlineLevel="1" x14ac:dyDescent="0.2">
      <c r="C92" s="108" t="s">
        <v>172</v>
      </c>
      <c r="D92" s="70" t="s">
        <v>13</v>
      </c>
      <c r="E92" s="88">
        <f t="shared" ref="E92:Q92" si="21">E91/E79</f>
        <v>7.298355520751762E-2</v>
      </c>
      <c r="F92" s="88">
        <f t="shared" si="21"/>
        <v>-0.28647391159853774</v>
      </c>
      <c r="G92" s="88">
        <f t="shared" si="21"/>
        <v>-0.62414266117969819</v>
      </c>
      <c r="H92" s="88">
        <f t="shared" si="21"/>
        <v>-8.6131627140818651E-2</v>
      </c>
      <c r="I92" s="88">
        <f t="shared" si="21"/>
        <v>2.5977450879175662E-2</v>
      </c>
      <c r="J92" s="88">
        <f t="shared" si="21"/>
        <v>5.1675349776076969E-2</v>
      </c>
      <c r="K92" s="88">
        <f t="shared" si="21"/>
        <v>5.8823529411764872E-2</v>
      </c>
      <c r="L92" s="88">
        <f t="shared" si="21"/>
        <v>6.9561364643331777E-2</v>
      </c>
      <c r="M92" s="88">
        <f t="shared" si="21"/>
        <v>7.4409476489892601E-2</v>
      </c>
      <c r="N92" s="88">
        <f t="shared" si="21"/>
        <v>8.0147651576222959E-2</v>
      </c>
      <c r="O92" s="88">
        <f t="shared" si="21"/>
        <v>7.479572595851687E-2</v>
      </c>
      <c r="P92" s="88">
        <f t="shared" si="21"/>
        <v>7.3122201956558011E-2</v>
      </c>
      <c r="Q92" s="88">
        <f t="shared" si="21"/>
        <v>7.4765205265964127E-2</v>
      </c>
    </row>
    <row r="93" spans="3:17" outlineLevel="1" x14ac:dyDescent="0.2">
      <c r="C93" s="108" t="s">
        <v>229</v>
      </c>
      <c r="D93" s="70" t="s">
        <v>13</v>
      </c>
      <c r="E93" s="70"/>
      <c r="F93" s="88">
        <f>F91/E91-1</f>
        <v>-2.8497854077253217</v>
      </c>
      <c r="G93" s="88">
        <f t="shared" ref="G93:M93" si="22">G91/F91-1</f>
        <v>5.5684454756380619E-2</v>
      </c>
      <c r="H93" s="88">
        <f t="shared" si="22"/>
        <v>-0.60723329670329651</v>
      </c>
      <c r="I93" s="88">
        <f t="shared" si="22"/>
        <v>-1.4423193563161507</v>
      </c>
      <c r="J93" s="88">
        <f t="shared" si="22"/>
        <v>1.4013305124832263</v>
      </c>
      <c r="K93" s="88">
        <f t="shared" si="22"/>
        <v>0.32271745643482141</v>
      </c>
      <c r="L93" s="88">
        <f t="shared" si="22"/>
        <v>0.36389961389960845</v>
      </c>
      <c r="M93" s="88">
        <f t="shared" si="22"/>
        <v>0.20535828025477909</v>
      </c>
      <c r="N93" s="88">
        <f t="shared" ref="N93" si="23">N91/M91-1</f>
        <v>0.20781806292232674</v>
      </c>
      <c r="O93" s="88">
        <f t="shared" ref="O93" si="24">O91/N91-1</f>
        <v>1.5815246161994034E-2</v>
      </c>
      <c r="P93" s="88">
        <f t="shared" ref="P93" si="25">P91/O91-1</f>
        <v>3.7647058823529811E-2</v>
      </c>
      <c r="Q93" s="88">
        <f t="shared" ref="Q93" si="26">Q91/P91-1</f>
        <v>8.5119047619046206E-2</v>
      </c>
    </row>
    <row r="94" spans="3:17" outlineLevel="1" x14ac:dyDescent="0.2"/>
    <row r="95" spans="3:17" outlineLevel="1" x14ac:dyDescent="0.2">
      <c r="C95" s="83" t="s">
        <v>230</v>
      </c>
      <c r="D95" s="2" t="s">
        <v>35</v>
      </c>
      <c r="E95" s="249"/>
      <c r="F95" s="249">
        <f>-SUM(EZJ!G193:H193)</f>
        <v>-24</v>
      </c>
      <c r="G95" s="249">
        <f>-SUM(EZJ!I193:J193)</f>
        <v>-42</v>
      </c>
      <c r="H95" s="249">
        <f>-AVERAGE(EZJ!J130,EZJ!K130)*EZJ!$K$192</f>
        <v>-48.015000000000001</v>
      </c>
      <c r="I95" s="249">
        <f>-AVERAGE(EZJ!L130,EZJ!M130)*EZJ!$K$192</f>
        <v>-48.015020249999999</v>
      </c>
      <c r="J95" s="249">
        <f>-AVERAGE(EZJ!N130,EZJ!O130)*EZJ!$K$192</f>
        <v>-50.369361120000001</v>
      </c>
      <c r="K95" s="249">
        <f>-EZJ!P130*EZJ!$K$192</f>
        <v>-52.667461259999989</v>
      </c>
      <c r="L95" s="249">
        <f>-EZJ!Q130*EZJ!$K$192</f>
        <v>-56.855252384999986</v>
      </c>
      <c r="M95" s="249">
        <f>-M69*M45/Units</f>
        <v>-57.58212796874998</v>
      </c>
      <c r="N95" s="249">
        <f>-N69*N45/Units</f>
        <v>-73.897064226562492</v>
      </c>
      <c r="O95" s="249">
        <f>-O69*O45/Units</f>
        <v>-79.439344043554684</v>
      </c>
      <c r="P95" s="249">
        <f>-P69*P45/Units</f>
        <v>-95.327212852265617</v>
      </c>
      <c r="Q95" s="249">
        <f>-Q69*Q45/Units</f>
        <v>-100.09357349487891</v>
      </c>
    </row>
    <row r="96" spans="3:17" outlineLevel="1" x14ac:dyDescent="0.2">
      <c r="E96" s="249"/>
      <c r="F96" s="249"/>
      <c r="G96" s="249"/>
      <c r="H96" s="249"/>
      <c r="I96" s="249"/>
      <c r="J96" s="249"/>
      <c r="K96" s="249"/>
      <c r="L96" s="249"/>
    </row>
    <row r="97" spans="3:17" outlineLevel="1" x14ac:dyDescent="0.2">
      <c r="C97" s="101" t="s">
        <v>231</v>
      </c>
      <c r="D97" s="2" t="s">
        <v>35</v>
      </c>
      <c r="E97" s="250">
        <f t="shared" ref="E97:Q97" si="27">E91+E95</f>
        <v>466</v>
      </c>
      <c r="F97" s="250">
        <f t="shared" si="27"/>
        <v>-886</v>
      </c>
      <c r="G97" s="250">
        <f t="shared" si="27"/>
        <v>-952</v>
      </c>
      <c r="H97" s="250">
        <f t="shared" si="27"/>
        <v>-405.43270000000018</v>
      </c>
      <c r="I97" s="250">
        <f t="shared" si="27"/>
        <v>110.07774674999919</v>
      </c>
      <c r="J97" s="250">
        <f t="shared" si="27"/>
        <v>329.26362407999932</v>
      </c>
      <c r="K97" s="250">
        <f t="shared" si="27"/>
        <v>449.47971530250129</v>
      </c>
      <c r="L97" s="250">
        <f t="shared" si="27"/>
        <v>628.02308784937406</v>
      </c>
      <c r="M97" s="250">
        <f t="shared" si="27"/>
        <v>767.94165039990253</v>
      </c>
      <c r="N97" s="250">
        <f t="shared" si="27"/>
        <v>923.18546665898361</v>
      </c>
      <c r="O97" s="250">
        <f t="shared" si="27"/>
        <v>933.41229251177037</v>
      </c>
      <c r="P97" s="250">
        <f t="shared" si="27"/>
        <v>955.65530884396617</v>
      </c>
      <c r="Q97" s="250">
        <f t="shared" si="27"/>
        <v>1040.3475795123995</v>
      </c>
    </row>
    <row r="98" spans="3:17" outlineLevel="1" x14ac:dyDescent="0.2"/>
    <row r="99" spans="3:17" outlineLevel="1" x14ac:dyDescent="0.2">
      <c r="C99" s="264" t="s">
        <v>232</v>
      </c>
      <c r="D99" s="2" t="s">
        <v>35</v>
      </c>
      <c r="H99" s="249">
        <f>G102</f>
        <v>1878.7698412698412</v>
      </c>
      <c r="I99" s="249">
        <f t="shared" ref="I99:Q99" si="28">H102</f>
        <v>2284.2025412698413</v>
      </c>
      <c r="J99" s="249">
        <f t="shared" si="28"/>
        <v>2174.124794519842</v>
      </c>
      <c r="K99" s="249">
        <f t="shared" si="28"/>
        <v>1844.8611704398427</v>
      </c>
      <c r="L99" s="249">
        <f t="shared" si="28"/>
        <v>1395.3814551373414</v>
      </c>
      <c r="M99" s="249">
        <f t="shared" si="28"/>
        <v>767.35836728796733</v>
      </c>
      <c r="N99" s="249">
        <f t="shared" si="28"/>
        <v>0</v>
      </c>
      <c r="O99" s="249">
        <f t="shared" si="28"/>
        <v>0</v>
      </c>
      <c r="P99" s="249">
        <f t="shared" si="28"/>
        <v>0</v>
      </c>
      <c r="Q99" s="249">
        <f t="shared" si="28"/>
        <v>0</v>
      </c>
    </row>
    <row r="100" spans="3:17" outlineLevel="1" x14ac:dyDescent="0.2">
      <c r="C100" s="83" t="s">
        <v>60</v>
      </c>
      <c r="D100" s="2" t="s">
        <v>35</v>
      </c>
      <c r="H100" s="249">
        <f>MAX(0,-H97)</f>
        <v>405.43270000000018</v>
      </c>
      <c r="I100" s="249">
        <f>MAX(0,-I97)</f>
        <v>0</v>
      </c>
      <c r="J100" s="249">
        <f t="shared" ref="J100:Q100" si="29">MAX(0,-J97)</f>
        <v>0</v>
      </c>
      <c r="K100" s="249">
        <f t="shared" si="29"/>
        <v>0</v>
      </c>
      <c r="L100" s="249">
        <f t="shared" si="29"/>
        <v>0</v>
      </c>
      <c r="M100" s="249">
        <f t="shared" si="29"/>
        <v>0</v>
      </c>
      <c r="N100" s="249">
        <f t="shared" si="29"/>
        <v>0</v>
      </c>
      <c r="O100" s="249">
        <f t="shared" si="29"/>
        <v>0</v>
      </c>
      <c r="P100" s="249">
        <f t="shared" si="29"/>
        <v>0</v>
      </c>
      <c r="Q100" s="249">
        <f t="shared" si="29"/>
        <v>0</v>
      </c>
    </row>
    <row r="101" spans="3:17" outlineLevel="1" x14ac:dyDescent="0.2">
      <c r="C101" s="326" t="s">
        <v>61</v>
      </c>
      <c r="D101" s="21" t="s">
        <v>35</v>
      </c>
      <c r="E101" s="327"/>
      <c r="F101" s="327"/>
      <c r="G101" s="327"/>
      <c r="H101" s="251">
        <f>-MIN(H99+H100,MAX(H97,0))</f>
        <v>0</v>
      </c>
      <c r="I101" s="251">
        <f>-MIN(I99+I100,MAX(I97,0))</f>
        <v>-110.07774674999919</v>
      </c>
      <c r="J101" s="251">
        <f t="shared" ref="J101:Q101" si="30">-MIN(J99+J100,MAX(J97,0))</f>
        <v>-329.26362407999932</v>
      </c>
      <c r="K101" s="251">
        <f t="shared" si="30"/>
        <v>-449.47971530250129</v>
      </c>
      <c r="L101" s="251">
        <f t="shared" si="30"/>
        <v>-628.02308784937406</v>
      </c>
      <c r="M101" s="251">
        <f t="shared" si="30"/>
        <v>-767.35836728796733</v>
      </c>
      <c r="N101" s="251">
        <f t="shared" si="30"/>
        <v>0</v>
      </c>
      <c r="O101" s="251">
        <f t="shared" si="30"/>
        <v>0</v>
      </c>
      <c r="P101" s="251">
        <f t="shared" si="30"/>
        <v>0</v>
      </c>
      <c r="Q101" s="251">
        <f t="shared" si="30"/>
        <v>0</v>
      </c>
    </row>
    <row r="102" spans="3:17" outlineLevel="1" x14ac:dyDescent="0.2">
      <c r="C102" s="325" t="s">
        <v>62</v>
      </c>
      <c r="D102" s="2" t="s">
        <v>35</v>
      </c>
      <c r="E102" s="101"/>
      <c r="F102" s="101"/>
      <c r="G102" s="328">
        <f>EZJ!K80</f>
        <v>1878.7698412698412</v>
      </c>
      <c r="H102" s="250">
        <f>SUM(H99:H101)</f>
        <v>2284.2025412698413</v>
      </c>
      <c r="I102" s="250">
        <f>SUM(I99:I101)</f>
        <v>2174.124794519842</v>
      </c>
      <c r="J102" s="250">
        <f t="shared" ref="J102:Q102" si="31">SUM(J99:J101)</f>
        <v>1844.8611704398427</v>
      </c>
      <c r="K102" s="250">
        <f t="shared" si="31"/>
        <v>1395.3814551373414</v>
      </c>
      <c r="L102" s="250">
        <f t="shared" si="31"/>
        <v>767.35836728796733</v>
      </c>
      <c r="M102" s="250">
        <f t="shared" si="31"/>
        <v>0</v>
      </c>
      <c r="N102" s="250">
        <f t="shared" si="31"/>
        <v>0</v>
      </c>
      <c r="O102" s="250">
        <f t="shared" si="31"/>
        <v>0</v>
      </c>
      <c r="P102" s="250">
        <f t="shared" si="31"/>
        <v>0</v>
      </c>
      <c r="Q102" s="250">
        <f t="shared" si="31"/>
        <v>0</v>
      </c>
    </row>
    <row r="103" spans="3:17" outlineLevel="1" x14ac:dyDescent="0.2">
      <c r="C103" s="324"/>
    </row>
    <row r="104" spans="3:17" outlineLevel="1" x14ac:dyDescent="0.2">
      <c r="C104" s="101" t="s">
        <v>233</v>
      </c>
      <c r="D104" s="2" t="s">
        <v>35</v>
      </c>
      <c r="E104" s="250">
        <f t="shared" ref="E104:G104" si="32">E97+E101</f>
        <v>466</v>
      </c>
      <c r="F104" s="250">
        <f t="shared" si="32"/>
        <v>-886</v>
      </c>
      <c r="G104" s="250">
        <f t="shared" si="32"/>
        <v>-952</v>
      </c>
      <c r="H104" s="250">
        <f>H97+H101</f>
        <v>-405.43270000000018</v>
      </c>
      <c r="I104" s="250">
        <f t="shared" ref="I104:Q104" si="33">I97+I101</f>
        <v>0</v>
      </c>
      <c r="J104" s="250">
        <f t="shared" si="33"/>
        <v>0</v>
      </c>
      <c r="K104" s="250">
        <f t="shared" si="33"/>
        <v>0</v>
      </c>
      <c r="L104" s="250">
        <f t="shared" si="33"/>
        <v>0</v>
      </c>
      <c r="M104" s="250">
        <f t="shared" si="33"/>
        <v>0.58328311193520221</v>
      </c>
      <c r="N104" s="250">
        <f t="shared" si="33"/>
        <v>923.18546665898361</v>
      </c>
      <c r="O104" s="250">
        <f t="shared" si="33"/>
        <v>933.41229251177037</v>
      </c>
      <c r="P104" s="250">
        <f t="shared" si="33"/>
        <v>955.65530884396617</v>
      </c>
      <c r="Q104" s="250">
        <f t="shared" si="33"/>
        <v>1040.3475795123995</v>
      </c>
    </row>
    <row r="105" spans="3:17" outlineLevel="1" x14ac:dyDescent="0.2">
      <c r="C105" s="324"/>
    </row>
    <row r="106" spans="3:17" outlineLevel="1" x14ac:dyDescent="0.2">
      <c r="C106" s="68" t="s">
        <v>234</v>
      </c>
      <c r="D106" s="2" t="s">
        <v>35</v>
      </c>
      <c r="E106" s="249">
        <f>(EZJ!T113+EZJ!T147)/EZJ!T112*E104</f>
        <v>-62.855813953488379</v>
      </c>
      <c r="F106" s="249">
        <f>(EZJ!U113+EZJ!U147)/EZJ!U112*F104</f>
        <v>9.0479183032207384</v>
      </c>
      <c r="G106" s="249">
        <f>(EZJ!V113+EZJ!V147)/EZJ!V112*G104</f>
        <v>0.91891891891891897</v>
      </c>
      <c r="H106" s="249">
        <f t="shared" ref="H106:Q106" si="34">-MAX(H104,0)*Tax_Rate</f>
        <v>0</v>
      </c>
      <c r="I106" s="249">
        <f t="shared" si="34"/>
        <v>0</v>
      </c>
      <c r="J106" s="249">
        <f t="shared" si="34"/>
        <v>0</v>
      </c>
      <c r="K106" s="249">
        <f t="shared" si="34"/>
        <v>0</v>
      </c>
      <c r="L106" s="249">
        <f t="shared" si="34"/>
        <v>0</v>
      </c>
      <c r="M106" s="249">
        <f t="shared" si="34"/>
        <v>-0.14582077798380055</v>
      </c>
      <c r="N106" s="249">
        <f t="shared" si="34"/>
        <v>-230.7963666647459</v>
      </c>
      <c r="O106" s="249">
        <f t="shared" si="34"/>
        <v>-233.35307312794259</v>
      </c>
      <c r="P106" s="249">
        <f t="shared" si="34"/>
        <v>-238.91382721099154</v>
      </c>
      <c r="Q106" s="249">
        <f t="shared" si="34"/>
        <v>-260.08689487809988</v>
      </c>
    </row>
    <row r="107" spans="3:17" outlineLevel="1" x14ac:dyDescent="0.2"/>
    <row r="108" spans="3:17" outlineLevel="1" x14ac:dyDescent="0.2">
      <c r="C108" s="101" t="s">
        <v>235</v>
      </c>
      <c r="D108" s="2" t="s">
        <v>35</v>
      </c>
      <c r="E108" s="250">
        <f t="shared" ref="E108:G108" si="35">E97+E106</f>
        <v>403.14418604651161</v>
      </c>
      <c r="F108" s="250">
        <f t="shared" si="35"/>
        <v>-876.95208169677926</v>
      </c>
      <c r="G108" s="250">
        <f t="shared" si="35"/>
        <v>-951.08108108108104</v>
      </c>
      <c r="H108" s="250">
        <f>H97+H106</f>
        <v>-405.43270000000018</v>
      </c>
      <c r="I108" s="250">
        <f t="shared" ref="I108:Q108" si="36">I97+I106</f>
        <v>110.07774674999919</v>
      </c>
      <c r="J108" s="250">
        <f t="shared" si="36"/>
        <v>329.26362407999932</v>
      </c>
      <c r="K108" s="250">
        <f t="shared" si="36"/>
        <v>449.47971530250129</v>
      </c>
      <c r="L108" s="250">
        <f t="shared" si="36"/>
        <v>628.02308784937406</v>
      </c>
      <c r="M108" s="250">
        <f t="shared" si="36"/>
        <v>767.79582962191876</v>
      </c>
      <c r="N108" s="250">
        <f t="shared" si="36"/>
        <v>692.38909999423777</v>
      </c>
      <c r="O108" s="250">
        <f t="shared" si="36"/>
        <v>700.05921938382778</v>
      </c>
      <c r="P108" s="250">
        <f t="shared" si="36"/>
        <v>716.74148163297468</v>
      </c>
      <c r="Q108" s="250">
        <f t="shared" si="36"/>
        <v>780.26068463429965</v>
      </c>
    </row>
    <row r="109" spans="3:17" outlineLevel="1" x14ac:dyDescent="0.2"/>
    <row r="110" spans="3:17" outlineLevel="1" x14ac:dyDescent="0.2">
      <c r="C110" s="101" t="s">
        <v>236</v>
      </c>
    </row>
    <row r="111" spans="3:17" outlineLevel="1" x14ac:dyDescent="0.2">
      <c r="C111" s="83" t="s">
        <v>237</v>
      </c>
      <c r="D111" s="2" t="s">
        <v>35</v>
      </c>
      <c r="E111" s="249">
        <f t="shared" ref="E111:Q111" si="37">-E88</f>
        <v>257</v>
      </c>
      <c r="F111" s="249">
        <f t="shared" si="37"/>
        <v>275</v>
      </c>
      <c r="G111" s="249">
        <f t="shared" si="37"/>
        <v>263</v>
      </c>
      <c r="H111" s="249">
        <f t="shared" si="37"/>
        <v>303.3802</v>
      </c>
      <c r="I111" s="249">
        <f t="shared" si="37"/>
        <v>288.94571999999999</v>
      </c>
      <c r="J111" s="249">
        <f t="shared" si="37"/>
        <v>319.76036399999998</v>
      </c>
      <c r="K111" s="249">
        <f t="shared" si="37"/>
        <v>356.73776249999986</v>
      </c>
      <c r="L111" s="249">
        <f t="shared" si="37"/>
        <v>401.32998281249985</v>
      </c>
      <c r="M111" s="249">
        <f t="shared" si="37"/>
        <v>460.65702374999984</v>
      </c>
      <c r="N111" s="249">
        <f t="shared" si="37"/>
        <v>506.72272612499989</v>
      </c>
      <c r="O111" s="249">
        <f t="shared" si="37"/>
        <v>567.42388602539052</v>
      </c>
      <c r="P111" s="249">
        <f t="shared" si="37"/>
        <v>595.79508032666013</v>
      </c>
      <c r="Q111" s="249">
        <f t="shared" si="37"/>
        <v>625.58483434299308</v>
      </c>
    </row>
    <row r="112" spans="3:17" outlineLevel="1" x14ac:dyDescent="0.2">
      <c r="C112" s="109" t="s">
        <v>238</v>
      </c>
      <c r="D112" s="70" t="s">
        <v>13</v>
      </c>
      <c r="E112" s="88">
        <f t="shared" ref="E112:Q112" si="38">E111/E79</f>
        <v>4.0250587314017226E-2</v>
      </c>
      <c r="F112" s="88">
        <f t="shared" si="38"/>
        <v>9.1392489199069463E-2</v>
      </c>
      <c r="G112" s="88">
        <f t="shared" si="38"/>
        <v>0.1803840877914952</v>
      </c>
      <c r="H112" s="88">
        <f t="shared" si="38"/>
        <v>7.3109502602436802E-2</v>
      </c>
      <c r="I112" s="88">
        <f t="shared" si="38"/>
        <v>4.747891627482289E-2</v>
      </c>
      <c r="J112" s="88">
        <f t="shared" si="38"/>
        <v>4.3525534656901878E-2</v>
      </c>
      <c r="K112" s="88">
        <f t="shared" si="38"/>
        <v>4.178968884851237E-2</v>
      </c>
      <c r="L112" s="88">
        <f t="shared" si="38"/>
        <v>4.0762073548958791E-2</v>
      </c>
      <c r="M112" s="88">
        <f t="shared" si="38"/>
        <v>4.1521817877088925E-2</v>
      </c>
      <c r="N112" s="88">
        <f t="shared" si="38"/>
        <v>4.0731469302897873E-2</v>
      </c>
      <c r="O112" s="88">
        <f t="shared" si="38"/>
        <v>4.1902367483762831E-2</v>
      </c>
      <c r="P112" s="88">
        <f t="shared" si="38"/>
        <v>4.1452495440225501E-2</v>
      </c>
      <c r="Q112" s="88">
        <f t="shared" si="38"/>
        <v>4.1012180617643439E-2</v>
      </c>
    </row>
    <row r="113" spans="3:17" outlineLevel="1" x14ac:dyDescent="0.2">
      <c r="G113" s="102"/>
    </row>
    <row r="114" spans="3:17" outlineLevel="1" x14ac:dyDescent="0.2">
      <c r="C114" s="83" t="s">
        <v>110</v>
      </c>
      <c r="D114" s="2" t="s">
        <v>35</v>
      </c>
      <c r="E114" s="252">
        <f>EZJ!T149</f>
        <v>118</v>
      </c>
      <c r="F114" s="252">
        <f>EZJ!U149</f>
        <v>-192</v>
      </c>
      <c r="G114" s="252">
        <f>EZJ!V149</f>
        <v>-306</v>
      </c>
      <c r="H114" s="252">
        <f>EZJ!W149</f>
        <v>1542.3852250000009</v>
      </c>
      <c r="I114" s="252">
        <f>EZJ!X149</f>
        <v>38.192981759999384</v>
      </c>
      <c r="J114" s="252">
        <f>EZJ!Y149</f>
        <v>-485.12352168000052</v>
      </c>
      <c r="K114" s="252">
        <f>EZJ!Z149</f>
        <v>598.33294640437452</v>
      </c>
      <c r="L114" s="252">
        <f>EZJ!AA149</f>
        <v>634.46489637890681</v>
      </c>
      <c r="M114" s="249">
        <f>(M79-L79)*M115</f>
        <v>561.89932798073778</v>
      </c>
      <c r="N114" s="249">
        <f>(N79-M79)*N115</f>
        <v>605.80537338572753</v>
      </c>
      <c r="O114" s="249">
        <f>(O79-N79)*O115</f>
        <v>495.45012485436831</v>
      </c>
      <c r="P114" s="249">
        <f>(P79-O79)*P115</f>
        <v>374.12526501198147</v>
      </c>
      <c r="Q114" s="249">
        <f>(Q79-P79)*Q115</f>
        <v>396.30352409318328</v>
      </c>
    </row>
    <row r="115" spans="3:17" outlineLevel="1" x14ac:dyDescent="0.2">
      <c r="C115" s="106" t="s">
        <v>239</v>
      </c>
      <c r="D115" s="70" t="s">
        <v>13</v>
      </c>
      <c r="E115" s="105"/>
      <c r="F115" s="105">
        <f>F114/(F$79-E$79)</f>
        <v>5.6872037914691941E-2</v>
      </c>
      <c r="G115" s="105">
        <f t="shared" ref="G115:L115" si="39">G114/(G$79-F$79)</f>
        <v>0.19729206963249515</v>
      </c>
      <c r="H115" s="105">
        <f t="shared" si="39"/>
        <v>0.57302198431939189</v>
      </c>
      <c r="I115" s="105">
        <f t="shared" si="39"/>
        <v>1.9726755113335697E-2</v>
      </c>
      <c r="J115" s="105">
        <f t="shared" si="39"/>
        <v>-0.38479528023066661</v>
      </c>
      <c r="K115" s="105">
        <f t="shared" si="39"/>
        <v>0.50280017910878017</v>
      </c>
      <c r="L115" s="105">
        <f t="shared" si="39"/>
        <v>0.48463161791928999</v>
      </c>
      <c r="M115" s="75">
        <v>0.45</v>
      </c>
      <c r="N115" s="75">
        <v>0.45</v>
      </c>
      <c r="O115" s="75">
        <v>0.45</v>
      </c>
      <c r="P115" s="75">
        <v>0.45</v>
      </c>
      <c r="Q115" s="75">
        <v>0.45</v>
      </c>
    </row>
    <row r="116" spans="3:17" outlineLevel="1" x14ac:dyDescent="0.2">
      <c r="C116" s="109" t="s">
        <v>240</v>
      </c>
      <c r="D116" s="70" t="s">
        <v>13</v>
      </c>
      <c r="E116" s="88">
        <f t="shared" ref="E116:Q116" si="40">E114/E79</f>
        <v>1.8480814408770557E-2</v>
      </c>
      <c r="F116" s="88">
        <f t="shared" si="40"/>
        <v>-6.3808574277168489E-2</v>
      </c>
      <c r="G116" s="88">
        <f t="shared" si="40"/>
        <v>-0.20987654320987653</v>
      </c>
      <c r="H116" s="88">
        <f t="shared" si="40"/>
        <v>0.3716887806821198</v>
      </c>
      <c r="I116" s="88">
        <f t="shared" si="40"/>
        <v>6.2757855810041023E-3</v>
      </c>
      <c r="J116" s="88">
        <f t="shared" si="40"/>
        <v>-6.6034640415161508E-2</v>
      </c>
      <c r="K116" s="88">
        <f t="shared" si="40"/>
        <v>7.0091115341489679E-2</v>
      </c>
      <c r="L116" s="88">
        <f t="shared" si="40"/>
        <v>6.4440998375424691E-2</v>
      </c>
      <c r="M116" s="88">
        <f t="shared" si="40"/>
        <v>5.0647402207714326E-2</v>
      </c>
      <c r="N116" s="88">
        <f t="shared" si="40"/>
        <v>4.8695946910232636E-2</v>
      </c>
      <c r="O116" s="88">
        <f t="shared" si="40"/>
        <v>3.6587344510546294E-2</v>
      </c>
      <c r="P116" s="88">
        <f t="shared" si="40"/>
        <v>2.6029798422436488E-2</v>
      </c>
      <c r="Q116" s="88">
        <f t="shared" si="40"/>
        <v>2.5980923477129825E-2</v>
      </c>
    </row>
    <row r="117" spans="3:17" outlineLevel="1" x14ac:dyDescent="0.2">
      <c r="G117" s="102"/>
    </row>
    <row r="118" spans="3:17" outlineLevel="1" x14ac:dyDescent="0.2">
      <c r="C118" s="83" t="s">
        <v>241</v>
      </c>
      <c r="D118" s="2" t="s">
        <v>35</v>
      </c>
      <c r="E118" s="252">
        <f>EZJ!T153</f>
        <v>-984</v>
      </c>
      <c r="F118" s="252">
        <f>EZJ!U153</f>
        <v>-695</v>
      </c>
      <c r="G118" s="252">
        <f>EZJ!V153</f>
        <v>-149</v>
      </c>
      <c r="H118" s="252">
        <f>EZJ!W153</f>
        <v>-573.3592000000001</v>
      </c>
      <c r="I118" s="252">
        <f>EZJ!X153</f>
        <v>-773.72021999999993</v>
      </c>
      <c r="J118" s="252">
        <f>EZJ!Y153</f>
        <v>-1040.34483</v>
      </c>
      <c r="K118" s="252">
        <f>EZJ!Z153</f>
        <v>-1395.9303749999995</v>
      </c>
      <c r="L118" s="252">
        <f>EZJ!AA153</f>
        <v>-1622.7690609374995</v>
      </c>
      <c r="M118" s="249">
        <f>-M71*M45/Units</f>
        <v>-1535.5234124999997</v>
      </c>
      <c r="N118" s="249">
        <f>-N71*N45/Units</f>
        <v>-1266.8068153124996</v>
      </c>
      <c r="O118" s="249">
        <f>-O71*O45/Units</f>
        <v>-907.87821764062494</v>
      </c>
      <c r="P118" s="249">
        <f>-P71*P45/Units</f>
        <v>-953.27212852265632</v>
      </c>
      <c r="Q118" s="249">
        <f>-Q71*Q45/Units</f>
        <v>-1000.935734948789</v>
      </c>
    </row>
    <row r="119" spans="3:17" outlineLevel="1" x14ac:dyDescent="0.2">
      <c r="C119" s="109" t="s">
        <v>239</v>
      </c>
      <c r="D119" s="70" t="s">
        <v>13</v>
      </c>
      <c r="E119" s="252"/>
      <c r="F119" s="88">
        <f>F118/(F$79-E$79)</f>
        <v>0.20586492890995262</v>
      </c>
      <c r="G119" s="88">
        <f t="shared" ref="G119" si="41">G118/(G$79-F$79)</f>
        <v>9.6067053513862022E-2</v>
      </c>
      <c r="H119" s="88">
        <f t="shared" ref="H119" si="42">H118/(H$79-G$79)</f>
        <v>-0.21301256079639827</v>
      </c>
      <c r="I119" s="88">
        <f t="shared" ref="I119" si="43">I118/(I$79-H$79)</f>
        <v>-0.3996281149790088</v>
      </c>
      <c r="J119" s="88">
        <f t="shared" ref="J119" si="44">J118/(J$79-I$79)</f>
        <v>-0.82519144610851514</v>
      </c>
      <c r="K119" s="88">
        <f t="shared" ref="K119" si="45">K118/(K$79-J$79)</f>
        <v>-1.1730492977049523</v>
      </c>
      <c r="L119" s="88">
        <f t="shared" ref="L119:M119" si="46">L118/(L$79-K$79)</f>
        <v>-1.2395409107737883</v>
      </c>
      <c r="M119" s="88">
        <f t="shared" si="46"/>
        <v>-1.2297319132025857</v>
      </c>
      <c r="N119" s="88">
        <f t="shared" ref="N119" si="47">N118/(N$79-M$79)</f>
        <v>-0.94100034752853723</v>
      </c>
      <c r="O119" s="88">
        <f t="shared" ref="O119" si="48">O118/(O$79-N$79)</f>
        <v>-0.82459399532570155</v>
      </c>
      <c r="P119" s="88">
        <f t="shared" ref="P119" si="49">P118/(P$79-O$79)</f>
        <v>-1.1466011466011454</v>
      </c>
      <c r="Q119" s="88">
        <f t="shared" ref="Q119" si="50">Q118/(Q$79-P$79)</f>
        <v>-1.1365558299225393</v>
      </c>
    </row>
    <row r="120" spans="3:17" outlineLevel="1" x14ac:dyDescent="0.2">
      <c r="C120" s="109" t="s">
        <v>240</v>
      </c>
      <c r="D120" s="70" t="s">
        <v>13</v>
      </c>
      <c r="E120" s="88">
        <f t="shared" ref="E120:Q120" si="51">-E118/E79</f>
        <v>0.15411119812059515</v>
      </c>
      <c r="F120" s="88">
        <f t="shared" si="51"/>
        <v>0.23097374543037555</v>
      </c>
      <c r="G120" s="88">
        <f t="shared" si="51"/>
        <v>0.10219478737997256</v>
      </c>
      <c r="H120" s="88">
        <f t="shared" si="51"/>
        <v>0.13816988031694583</v>
      </c>
      <c r="I120" s="88">
        <f t="shared" si="51"/>
        <v>0.12713598092235989</v>
      </c>
      <c r="J120" s="88">
        <f t="shared" si="51"/>
        <v>0.14161093759980112</v>
      </c>
      <c r="K120" s="88">
        <f t="shared" si="51"/>
        <v>0.16352486940722233</v>
      </c>
      <c r="L120" s="88">
        <f t="shared" si="51"/>
        <v>0.1648205582631812</v>
      </c>
      <c r="M120" s="88">
        <f t="shared" si="51"/>
        <v>0.13840605959029645</v>
      </c>
      <c r="N120" s="88">
        <f t="shared" si="51"/>
        <v>0.10182867325724466</v>
      </c>
      <c r="O120" s="88">
        <f t="shared" si="51"/>
        <v>6.7043787974020538E-2</v>
      </c>
      <c r="P120" s="88">
        <f t="shared" si="51"/>
        <v>6.6323992704360804E-2</v>
      </c>
      <c r="Q120" s="88">
        <f t="shared" si="51"/>
        <v>6.5619488988229502E-2</v>
      </c>
    </row>
    <row r="121" spans="3:17" outlineLevel="1" x14ac:dyDescent="0.2"/>
    <row r="122" spans="3:17" outlineLevel="1" x14ac:dyDescent="0.2">
      <c r="C122" s="336" t="s">
        <v>242</v>
      </c>
      <c r="D122" s="337" t="s">
        <v>35</v>
      </c>
      <c r="E122" s="338">
        <f>E108+E111+E114+E118</f>
        <v>-205.85581395348845</v>
      </c>
      <c r="F122" s="338">
        <f t="shared" ref="F122:Q122" si="52">F108+F111+F114+F118</f>
        <v>-1488.9520816967793</v>
      </c>
      <c r="G122" s="338">
        <f t="shared" si="52"/>
        <v>-1143.081081081081</v>
      </c>
      <c r="H122" s="338">
        <f t="shared" si="52"/>
        <v>866.97352500000056</v>
      </c>
      <c r="I122" s="338">
        <f t="shared" si="52"/>
        <v>-336.50377149000133</v>
      </c>
      <c r="J122" s="338">
        <f t="shared" si="52"/>
        <v>-876.44436360000122</v>
      </c>
      <c r="K122" s="338">
        <f t="shared" si="52"/>
        <v>8.6200492068762742</v>
      </c>
      <c r="L122" s="338">
        <f t="shared" si="52"/>
        <v>41.048906103281297</v>
      </c>
      <c r="M122" s="338">
        <f t="shared" si="52"/>
        <v>254.82876885265659</v>
      </c>
      <c r="N122" s="338">
        <f t="shared" si="52"/>
        <v>538.11038419246574</v>
      </c>
      <c r="O122" s="338">
        <f t="shared" si="52"/>
        <v>855.05501262296173</v>
      </c>
      <c r="P122" s="338">
        <f t="shared" si="52"/>
        <v>733.38969844896008</v>
      </c>
      <c r="Q122" s="338">
        <f t="shared" si="52"/>
        <v>801.21330812168696</v>
      </c>
    </row>
    <row r="123" spans="3:17" outlineLevel="1" x14ac:dyDescent="0.2">
      <c r="C123" s="108" t="s">
        <v>229</v>
      </c>
      <c r="D123" s="70" t="s">
        <v>13</v>
      </c>
      <c r="E123" s="88"/>
      <c r="F123" s="88">
        <f>F122/E122-1</f>
        <v>6.2329853264829165</v>
      </c>
      <c r="G123" s="88">
        <f t="shared" ref="G123:Q123" si="53">G122/F122-1</f>
        <v>-0.23229155918943389</v>
      </c>
      <c r="H123" s="88">
        <f t="shared" si="53"/>
        <v>-1.7584532185416375</v>
      </c>
      <c r="I123" s="88">
        <f t="shared" si="53"/>
        <v>-1.3881361561646315</v>
      </c>
      <c r="J123" s="88">
        <f t="shared" si="53"/>
        <v>1.6045602987425753</v>
      </c>
      <c r="K123" s="88">
        <f t="shared" si="53"/>
        <v>-1.009835249748734</v>
      </c>
      <c r="L123" s="88">
        <f t="shared" si="53"/>
        <v>3.7620268884934314</v>
      </c>
      <c r="M123" s="88">
        <f t="shared" si="53"/>
        <v>5.2079308084725433</v>
      </c>
      <c r="N123" s="88">
        <f t="shared" si="53"/>
        <v>1.1116547657286064</v>
      </c>
      <c r="O123" s="88">
        <f t="shared" si="53"/>
        <v>0.58899556251108232</v>
      </c>
      <c r="P123" s="88">
        <f t="shared" si="53"/>
        <v>-0.14228945784526992</v>
      </c>
      <c r="Q123" s="88">
        <f t="shared" si="53"/>
        <v>9.2479632337577833E-2</v>
      </c>
    </row>
    <row r="124" spans="3:17" outlineLevel="1" x14ac:dyDescent="0.2">
      <c r="H124" s="94"/>
    </row>
    <row r="125" spans="3:17" outlineLevel="1" x14ac:dyDescent="0.2">
      <c r="C125" s="128" t="s">
        <v>243</v>
      </c>
      <c r="D125" s="2" t="s">
        <v>35</v>
      </c>
      <c r="H125" s="345">
        <f>H122-(EZJ!K105-EZJ!K192*EZJ!J130/2+EZJ!K145+EZJ!K148+EZJ!K149+EZJ!K153)</f>
        <v>681.2510250000006</v>
      </c>
      <c r="I125" s="345">
        <f>I122</f>
        <v>-336.50377149000133</v>
      </c>
      <c r="J125" s="345">
        <f t="shared" ref="J125:Q125" si="54">J122</f>
        <v>-876.44436360000122</v>
      </c>
      <c r="K125" s="345">
        <f t="shared" si="54"/>
        <v>8.6200492068762742</v>
      </c>
      <c r="L125" s="345">
        <f t="shared" si="54"/>
        <v>41.048906103281297</v>
      </c>
      <c r="M125" s="345">
        <f t="shared" si="54"/>
        <v>254.82876885265659</v>
      </c>
      <c r="N125" s="345">
        <f t="shared" si="54"/>
        <v>538.11038419246574</v>
      </c>
      <c r="O125" s="345">
        <f t="shared" si="54"/>
        <v>855.05501262296173</v>
      </c>
      <c r="P125" s="345">
        <f t="shared" si="54"/>
        <v>733.38969844896008</v>
      </c>
      <c r="Q125" s="345">
        <f t="shared" si="54"/>
        <v>801.21330812168696</v>
      </c>
    </row>
    <row r="126" spans="3:17" outlineLevel="1" x14ac:dyDescent="0.2"/>
    <row r="127" spans="3:17" outlineLevel="1" x14ac:dyDescent="0.2">
      <c r="C127" s="101" t="s">
        <v>244</v>
      </c>
      <c r="D127" s="2" t="s">
        <v>35</v>
      </c>
      <c r="H127" s="345">
        <f ca="1">H125*H130</f>
        <v>783.47490922310408</v>
      </c>
      <c r="I127" s="345">
        <f t="shared" ref="I127:Q127" ca="1" si="55">I125*I130</f>
        <v>-421.32887865125866</v>
      </c>
      <c r="J127" s="345">
        <f t="shared" ca="1" si="55"/>
        <v>-983.43696979422737</v>
      </c>
      <c r="K127" s="345">
        <f t="shared" ca="1" si="55"/>
        <v>8.6680779788156173</v>
      </c>
      <c r="L127" s="345">
        <f t="shared" ca="1" si="55"/>
        <v>36.991806404646589</v>
      </c>
      <c r="M127" s="345">
        <f t="shared" ca="1" si="55"/>
        <v>205.7990160205585</v>
      </c>
      <c r="N127" s="345">
        <f t="shared" ca="1" si="55"/>
        <v>389.45483284754329</v>
      </c>
      <c r="O127" s="345">
        <f t="shared" ca="1" si="55"/>
        <v>554.5882557585868</v>
      </c>
      <c r="P127" s="345">
        <f t="shared" ca="1" si="55"/>
        <v>426.28721056604616</v>
      </c>
      <c r="Q127" s="345">
        <f t="shared" ca="1" si="55"/>
        <v>417.35588214067707</v>
      </c>
    </row>
    <row r="128" spans="3:17" outlineLevel="1" x14ac:dyDescent="0.2"/>
    <row r="129" spans="2:28" outlineLevel="1" x14ac:dyDescent="0.2">
      <c r="C129" s="343" t="s">
        <v>245</v>
      </c>
      <c r="D129" s="70" t="s">
        <v>11</v>
      </c>
      <c r="H129" s="346">
        <f t="shared" ref="H129:Q129" ca="1" si="56">1/((1+Discount_Rate)^H132)</f>
        <v>1.3226223220397453</v>
      </c>
      <c r="I129" s="346">
        <f t="shared" ca="1" si="56"/>
        <v>1.1852957704762279</v>
      </c>
      <c r="J129" s="346">
        <f t="shared" ca="1" si="56"/>
        <v>1.0622276972780569</v>
      </c>
      <c r="K129" s="346">
        <f t="shared" ca="1" si="56"/>
        <v>0.95193765891133109</v>
      </c>
      <c r="L129" s="346">
        <f t="shared" ca="1" si="56"/>
        <v>0.85309892481214045</v>
      </c>
      <c r="M129" s="346">
        <f t="shared" ca="1" si="56"/>
        <v>0.76452251752277733</v>
      </c>
      <c r="N129" s="346">
        <f t="shared" ca="1" si="56"/>
        <v>0.68514290992463289</v>
      </c>
      <c r="O129" s="346">
        <f t="shared" ca="1" si="56"/>
        <v>0.61400520751307786</v>
      </c>
      <c r="P129" s="346">
        <f t="shared" ca="1" si="56"/>
        <v>0.55025366152391308</v>
      </c>
      <c r="Q129" s="346">
        <f t="shared" ca="1" si="56"/>
        <v>0.4931213747303993</v>
      </c>
    </row>
    <row r="130" spans="2:28" outlineLevel="1" x14ac:dyDescent="0.2">
      <c r="C130" s="343" t="s">
        <v>246</v>
      </c>
      <c r="D130" s="70" t="s">
        <v>11</v>
      </c>
      <c r="H130" s="346">
        <f t="shared" ref="H130:Q130" ca="1" si="57">1/((1+Discount_Rate)^H133)</f>
        <v>1.1500531822658224</v>
      </c>
      <c r="I130" s="346">
        <f t="shared" ca="1" si="57"/>
        <v>1.2520777309141624</v>
      </c>
      <c r="J130" s="346">
        <f t="shared" ca="1" si="57"/>
        <v>1.1220757536220021</v>
      </c>
      <c r="K130" s="346">
        <f t="shared" ca="1" si="57"/>
        <v>1.0055717514815379</v>
      </c>
      <c r="L130" s="346">
        <f t="shared" ca="1" si="57"/>
        <v>0.90116424324617017</v>
      </c>
      <c r="M130" s="346">
        <f t="shared" ca="1" si="57"/>
        <v>0.80759726206405147</v>
      </c>
      <c r="N130" s="346">
        <f t="shared" ca="1" si="57"/>
        <v>0.72374524686415853</v>
      </c>
      <c r="O130" s="346">
        <f t="shared" ca="1" si="57"/>
        <v>0.64859950245462583</v>
      </c>
      <c r="P130" s="346">
        <f t="shared" ca="1" si="57"/>
        <v>0.5812560654555109</v>
      </c>
      <c r="Q130" s="346">
        <f t="shared" ca="1" si="57"/>
        <v>0.52090483009961408</v>
      </c>
    </row>
    <row r="131" spans="2:28" outlineLevel="1" x14ac:dyDescent="0.2"/>
    <row r="132" spans="2:28" outlineLevel="1" x14ac:dyDescent="0.2">
      <c r="C132" s="343" t="s">
        <v>247</v>
      </c>
      <c r="D132" s="70" t="s">
        <v>11</v>
      </c>
      <c r="E132" s="344"/>
      <c r="F132" s="344"/>
      <c r="G132" s="344"/>
      <c r="H132" s="346">
        <f ca="1">Stub_Period</f>
        <v>-2.5506849315068494</v>
      </c>
      <c r="I132" s="346">
        <f ca="1">H132+1</f>
        <v>-1.5506849315068494</v>
      </c>
      <c r="J132" s="346">
        <f t="shared" ref="J132:Q132" ca="1" si="58">I132+1</f>
        <v>-0.55068493150684938</v>
      </c>
      <c r="K132" s="346">
        <f t="shared" ca="1" si="58"/>
        <v>0.44931506849315062</v>
      </c>
      <c r="L132" s="346">
        <f t="shared" ca="1" si="58"/>
        <v>1.4493150684931506</v>
      </c>
      <c r="M132" s="346">
        <f t="shared" ca="1" si="58"/>
        <v>2.4493150684931506</v>
      </c>
      <c r="N132" s="346">
        <f t="shared" ca="1" si="58"/>
        <v>3.4493150684931506</v>
      </c>
      <c r="O132" s="346">
        <f t="shared" ca="1" si="58"/>
        <v>4.4493150684931511</v>
      </c>
      <c r="P132" s="346">
        <f t="shared" ca="1" si="58"/>
        <v>5.4493150684931511</v>
      </c>
      <c r="Q132" s="346">
        <f t="shared" ca="1" si="58"/>
        <v>6.4493150684931511</v>
      </c>
    </row>
    <row r="133" spans="2:28" outlineLevel="1" x14ac:dyDescent="0.2">
      <c r="C133" s="343" t="s">
        <v>248</v>
      </c>
      <c r="D133" s="70" t="s">
        <v>11</v>
      </c>
      <c r="E133" s="344"/>
      <c r="F133" s="344"/>
      <c r="G133" s="344"/>
      <c r="H133" s="346">
        <f ca="1">H132/2</f>
        <v>-1.2753424657534247</v>
      </c>
      <c r="I133" s="346">
        <f ca="1">I132-0.5</f>
        <v>-2.0506849315068494</v>
      </c>
      <c r="J133" s="346">
        <f t="shared" ref="J133:Q133" ca="1" si="59">J132-0.5</f>
        <v>-1.0506849315068494</v>
      </c>
      <c r="K133" s="346">
        <f t="shared" ca="1" si="59"/>
        <v>-5.0684931506849384E-2</v>
      </c>
      <c r="L133" s="346">
        <f t="shared" ca="1" si="59"/>
        <v>0.94931506849315062</v>
      </c>
      <c r="M133" s="346">
        <f t="shared" ca="1" si="59"/>
        <v>1.9493150684931506</v>
      </c>
      <c r="N133" s="346">
        <f t="shared" ca="1" si="59"/>
        <v>2.9493150684931506</v>
      </c>
      <c r="O133" s="346">
        <f t="shared" ca="1" si="59"/>
        <v>3.9493150684931511</v>
      </c>
      <c r="P133" s="346">
        <f t="shared" ca="1" si="59"/>
        <v>4.9493150684931511</v>
      </c>
      <c r="Q133" s="346">
        <f t="shared" ca="1" si="59"/>
        <v>5.9493150684931511</v>
      </c>
    </row>
    <row r="134" spans="2:28" outlineLevel="1" x14ac:dyDescent="0.2"/>
    <row r="135" spans="2:28" outlineLevel="1" x14ac:dyDescent="0.2">
      <c r="C135" s="339" t="s">
        <v>70</v>
      </c>
      <c r="D135" s="340" t="s">
        <v>35</v>
      </c>
      <c r="E135" s="341">
        <f t="shared" ref="E135:Q135" si="60">E82</f>
        <v>970</v>
      </c>
      <c r="F135" s="341">
        <f t="shared" si="60"/>
        <v>-358</v>
      </c>
      <c r="G135" s="341">
        <f t="shared" si="60"/>
        <v>-425</v>
      </c>
      <c r="H135" s="341">
        <f t="shared" si="60"/>
        <v>222.94449999999983</v>
      </c>
      <c r="I135" s="341">
        <f t="shared" si="60"/>
        <v>701.42618699999912</v>
      </c>
      <c r="J135" s="341">
        <f t="shared" si="60"/>
        <v>978.69196319999924</v>
      </c>
      <c r="K135" s="341">
        <f t="shared" si="60"/>
        <v>1169.091689062501</v>
      </c>
      <c r="L135" s="341">
        <f t="shared" si="60"/>
        <v>1435.1909167968738</v>
      </c>
      <c r="M135" s="341">
        <f t="shared" si="60"/>
        <v>1689.2556978999023</v>
      </c>
      <c r="N135" s="341">
        <f t="shared" si="60"/>
        <v>1947.1876423699209</v>
      </c>
      <c r="O135" s="341">
        <f t="shared" si="60"/>
        <v>2079.6085422830593</v>
      </c>
      <c r="P135" s="341">
        <f t="shared" si="60"/>
        <v>2171.0772727103526</v>
      </c>
      <c r="Q135" s="341">
        <f t="shared" si="60"/>
        <v>2316.5406415721054</v>
      </c>
    </row>
    <row r="136" spans="2:28" outlineLevel="1" x14ac:dyDescent="0.2">
      <c r="C136" s="108" t="s">
        <v>229</v>
      </c>
      <c r="D136" s="70" t="s">
        <v>13</v>
      </c>
      <c r="E136" s="88"/>
      <c r="F136" s="88">
        <f>F135/E135-1</f>
        <v>-1.3690721649484536</v>
      </c>
      <c r="G136" s="88">
        <f>G135/F135-1</f>
        <v>0.18715083798882692</v>
      </c>
      <c r="H136" s="88">
        <f t="shared" ref="H136:Q136" si="61">H135/G135-1</f>
        <v>-1.5245752941176467</v>
      </c>
      <c r="I136" s="88">
        <f t="shared" si="61"/>
        <v>2.1461919311756947</v>
      </c>
      <c r="J136" s="88">
        <f t="shared" si="61"/>
        <v>0.39528860105133257</v>
      </c>
      <c r="K136" s="88">
        <f t="shared" si="61"/>
        <v>0.19454510001283509</v>
      </c>
      <c r="L136" s="88">
        <f t="shared" si="61"/>
        <v>0.22761194029850529</v>
      </c>
      <c r="M136" s="88">
        <f t="shared" si="61"/>
        <v>0.17702507598784289</v>
      </c>
      <c r="N136" s="88">
        <f t="shared" si="61"/>
        <v>0.15268969925078957</v>
      </c>
      <c r="O136" s="88">
        <f t="shared" si="61"/>
        <v>6.8006234751967209E-2</v>
      </c>
      <c r="P136" s="88">
        <f t="shared" si="61"/>
        <v>4.3983628922237505E-2</v>
      </c>
      <c r="Q136" s="88">
        <f t="shared" si="61"/>
        <v>6.7000548847419683E-2</v>
      </c>
    </row>
    <row r="137" spans="2:28" outlineLevel="1" x14ac:dyDescent="0.2">
      <c r="C137" s="108" t="s">
        <v>249</v>
      </c>
      <c r="D137" s="70" t="s">
        <v>13</v>
      </c>
      <c r="E137" s="88">
        <f t="shared" ref="E137:Q137" si="62">E135/E79</f>
        <v>0.15191855912294441</v>
      </c>
      <c r="F137" s="88">
        <f t="shared" si="62"/>
        <v>-0.11897640412097042</v>
      </c>
      <c r="G137" s="88">
        <f t="shared" si="62"/>
        <v>-0.29149519890260633</v>
      </c>
      <c r="H137" s="88">
        <f t="shared" si="62"/>
        <v>5.3725857860694136E-2</v>
      </c>
      <c r="I137" s="88">
        <f t="shared" si="62"/>
        <v>0.115256786657166</v>
      </c>
      <c r="J137" s="88">
        <f t="shared" si="62"/>
        <v>0.13321879681964868</v>
      </c>
      <c r="K137" s="88">
        <f t="shared" si="62"/>
        <v>0.13695207812854887</v>
      </c>
      <c r="L137" s="88">
        <f t="shared" si="62"/>
        <v>0.14576871953921128</v>
      </c>
      <c r="M137" s="88">
        <f t="shared" si="62"/>
        <v>0.15226288500943436</v>
      </c>
      <c r="N137" s="88">
        <f t="shared" si="62"/>
        <v>0.15651915651915646</v>
      </c>
      <c r="O137" s="88">
        <f t="shared" si="62"/>
        <v>0.15357217682799099</v>
      </c>
      <c r="P137" s="88">
        <f t="shared" si="62"/>
        <v>0.15105289338418193</v>
      </c>
      <c r="Q137" s="88">
        <f t="shared" si="62"/>
        <v>0.15186810482713378</v>
      </c>
    </row>
    <row r="139" spans="2:28" x14ac:dyDescent="0.2">
      <c r="B139" s="243" t="s">
        <v>250</v>
      </c>
      <c r="C139" s="243"/>
      <c r="D139" s="243"/>
      <c r="E139" s="243"/>
      <c r="F139" s="243"/>
      <c r="G139" s="243"/>
      <c r="H139" s="243"/>
      <c r="I139" s="243"/>
      <c r="J139" s="243"/>
      <c r="K139" s="243"/>
      <c r="L139" s="243"/>
      <c r="M139" s="243"/>
      <c r="N139" s="243"/>
      <c r="O139" s="243"/>
      <c r="P139" s="243"/>
      <c r="Q139" s="243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 spans="2:28" outlineLevel="1" x14ac:dyDescent="0.2"/>
    <row r="141" spans="2:28" outlineLevel="1" x14ac:dyDescent="0.2">
      <c r="C141" s="391"/>
      <c r="D141" s="393"/>
      <c r="E141" s="394" t="s">
        <v>197</v>
      </c>
      <c r="F141" s="442"/>
      <c r="G141" s="395"/>
      <c r="H141" s="395"/>
      <c r="I141" s="395"/>
      <c r="J141" s="395"/>
      <c r="K141" s="395"/>
      <c r="L141" s="395"/>
      <c r="M141" s="395"/>
      <c r="N141" s="395"/>
      <c r="O141" s="395"/>
      <c r="P141" s="395"/>
      <c r="Q141" s="396"/>
    </row>
    <row r="142" spans="2:28" outlineLevel="1" x14ac:dyDescent="0.2">
      <c r="C142" s="392"/>
      <c r="D142" s="110">
        <f ca="1">$P$39</f>
        <v>7.7191881527517401</v>
      </c>
      <c r="E142" s="111">
        <v>7.0000000000000007E-2</v>
      </c>
      <c r="F142" s="443">
        <f>E142+0.25%</f>
        <v>7.2500000000000009E-2</v>
      </c>
      <c r="G142" s="112">
        <f t="shared" ref="G142:Q142" si="63">F142+0.25%</f>
        <v>7.5000000000000011E-2</v>
      </c>
      <c r="H142" s="112">
        <f t="shared" si="63"/>
        <v>7.7500000000000013E-2</v>
      </c>
      <c r="I142" s="113">
        <f t="shared" si="63"/>
        <v>8.0000000000000016E-2</v>
      </c>
      <c r="J142" s="113">
        <f t="shared" si="63"/>
        <v>8.2500000000000018E-2</v>
      </c>
      <c r="K142" s="112">
        <f t="shared" si="63"/>
        <v>8.500000000000002E-2</v>
      </c>
      <c r="L142" s="112">
        <f t="shared" si="63"/>
        <v>8.7500000000000022E-2</v>
      </c>
      <c r="M142" s="112">
        <f t="shared" si="63"/>
        <v>9.0000000000000024E-2</v>
      </c>
      <c r="N142" s="112">
        <f t="shared" si="63"/>
        <v>9.2500000000000027E-2</v>
      </c>
      <c r="O142" s="112">
        <f t="shared" si="63"/>
        <v>9.5000000000000029E-2</v>
      </c>
      <c r="P142" s="112">
        <f t="shared" si="63"/>
        <v>9.7500000000000031E-2</v>
      </c>
      <c r="Q142" s="114">
        <f t="shared" si="63"/>
        <v>0.10000000000000003</v>
      </c>
    </row>
    <row r="143" spans="2:28" outlineLevel="1" x14ac:dyDescent="0.2">
      <c r="C143" s="449" t="s">
        <v>14</v>
      </c>
      <c r="D143" s="116" t="s">
        <v>28</v>
      </c>
      <c r="E143" s="347">
        <f t="dataTable" ref="E143:Q145" dt2D="1" dtr="1" r1="E17" r2="E8" ca="1"/>
        <v>14.911927877410259</v>
      </c>
      <c r="F143" s="347">
        <v>14.245826198640369</v>
      </c>
      <c r="G143" s="347">
        <v>13.631207801981013</v>
      </c>
      <c r="H143" s="347">
        <v>13.062347272690303</v>
      </c>
      <c r="I143" s="348">
        <v>12.534337171296725</v>
      </c>
      <c r="J143" s="348">
        <v>12.042947002437819</v>
      </c>
      <c r="K143" s="347">
        <v>11.584510389948942</v>
      </c>
      <c r="L143" s="347">
        <v>11.15583408904843</v>
      </c>
      <c r="M143" s="347">
        <v>10.754124058753808</v>
      </c>
      <c r="N143" s="347">
        <v>10.376924975692077</v>
      </c>
      <c r="O143" s="347">
        <v>10.022070421957602</v>
      </c>
      <c r="P143" s="347">
        <v>9.6876416122080791</v>
      </c>
      <c r="Q143" s="347">
        <v>9.371932999590717</v>
      </c>
    </row>
    <row r="144" spans="2:28" outlineLevel="1" x14ac:dyDescent="0.2">
      <c r="C144" s="450"/>
      <c r="D144" s="116" t="s">
        <v>29</v>
      </c>
      <c r="E144" s="117">
        <v>7.1866933701750186</v>
      </c>
      <c r="F144" s="117">
        <v>6.7853355190675249</v>
      </c>
      <c r="G144" s="117">
        <v>6.4125108181105324</v>
      </c>
      <c r="H144" s="117">
        <v>6.0652624210641184</v>
      </c>
      <c r="I144" s="118">
        <v>5.7410277658427216</v>
      </c>
      <c r="J144" s="118">
        <v>5.4375749799027444</v>
      </c>
      <c r="K144" s="117">
        <v>5.1529512096233114</v>
      </c>
      <c r="L144" s="117">
        <v>4.8854403443482592</v>
      </c>
      <c r="M144" s="117">
        <v>4.6335282008943643</v>
      </c>
      <c r="N144" s="117">
        <v>4.3958736764326813</v>
      </c>
      <c r="O144" s="117">
        <v>4.1712847092258549</v>
      </c>
      <c r="P144" s="117">
        <v>3.9586981376271972</v>
      </c>
      <c r="Q144" s="117">
        <v>3.7571627392405951</v>
      </c>
    </row>
    <row r="145" spans="3:19" outlineLevel="1" x14ac:dyDescent="0.2">
      <c r="C145" s="451"/>
      <c r="D145" s="120" t="s">
        <v>30</v>
      </c>
      <c r="E145" s="117">
        <v>2.816653466067994</v>
      </c>
      <c r="F145" s="117">
        <v>2.5471426682619578</v>
      </c>
      <c r="G145" s="117">
        <v>2.2949973421987333</v>
      </c>
      <c r="H145" s="117">
        <v>2.0585389127713709</v>
      </c>
      <c r="I145" s="118">
        <v>1.8362984842635237</v>
      </c>
      <c r="J145" s="118">
        <v>1.6269850749676582</v>
      </c>
      <c r="K145" s="117">
        <v>1.4294594573372672</v>
      </c>
      <c r="L145" s="117">
        <v>1.2427124825698395</v>
      </c>
      <c r="M145" s="117">
        <v>1.0658470176512884</v>
      </c>
      <c r="N145" s="117">
        <v>0.89806281142651045</v>
      </c>
      <c r="O145" s="117">
        <v>0.7386437501414741</v>
      </c>
      <c r="P145" s="117">
        <v>0.58694707358034592</v>
      </c>
      <c r="Q145" s="117">
        <v>0.44239420869611867</v>
      </c>
    </row>
    <row r="146" spans="3:19" outlineLevel="1" x14ac:dyDescent="0.2"/>
    <row r="147" spans="3:19" outlineLevel="1" x14ac:dyDescent="0.2">
      <c r="C147" s="391"/>
      <c r="D147" s="393"/>
      <c r="E147" s="394" t="s">
        <v>197</v>
      </c>
      <c r="F147" s="442"/>
      <c r="G147" s="395"/>
      <c r="H147" s="395"/>
      <c r="I147" s="395"/>
      <c r="J147" s="395"/>
      <c r="K147" s="395"/>
      <c r="L147" s="395"/>
      <c r="M147" s="395"/>
      <c r="N147" s="395"/>
      <c r="O147" s="395"/>
      <c r="P147" s="395"/>
      <c r="Q147" s="396"/>
    </row>
    <row r="148" spans="3:19" outlineLevel="1" x14ac:dyDescent="0.2">
      <c r="C148" s="392"/>
      <c r="D148" s="110">
        <f ca="1">$K$39</f>
        <v>9.8415774883514988</v>
      </c>
      <c r="E148" s="112">
        <f>E142</f>
        <v>7.0000000000000007E-2</v>
      </c>
      <c r="F148" s="443">
        <f t="shared" ref="F148:Q148" si="64">F142</f>
        <v>7.2500000000000009E-2</v>
      </c>
      <c r="G148" s="112">
        <f t="shared" si="64"/>
        <v>7.5000000000000011E-2</v>
      </c>
      <c r="H148" s="112">
        <f t="shared" si="64"/>
        <v>7.7500000000000013E-2</v>
      </c>
      <c r="I148" s="113">
        <f t="shared" si="64"/>
        <v>8.0000000000000016E-2</v>
      </c>
      <c r="J148" s="113">
        <f t="shared" si="64"/>
        <v>8.2500000000000018E-2</v>
      </c>
      <c r="K148" s="112">
        <f t="shared" si="64"/>
        <v>8.500000000000002E-2</v>
      </c>
      <c r="L148" s="112">
        <f t="shared" si="64"/>
        <v>8.7500000000000022E-2</v>
      </c>
      <c r="M148" s="112">
        <f t="shared" si="64"/>
        <v>9.0000000000000024E-2</v>
      </c>
      <c r="N148" s="112">
        <f t="shared" si="64"/>
        <v>9.2500000000000027E-2</v>
      </c>
      <c r="O148" s="112">
        <f t="shared" si="64"/>
        <v>9.5000000000000029E-2</v>
      </c>
      <c r="P148" s="112">
        <f t="shared" si="64"/>
        <v>9.7500000000000031E-2</v>
      </c>
      <c r="Q148" s="112">
        <f t="shared" si="64"/>
        <v>0.10000000000000003</v>
      </c>
      <c r="S148" s="79"/>
    </row>
    <row r="149" spans="3:19" outlineLevel="1" x14ac:dyDescent="0.2">
      <c r="C149" s="449" t="s">
        <v>251</v>
      </c>
      <c r="D149" s="115">
        <v>4.9000000000000004</v>
      </c>
      <c r="E149" s="347">
        <f t="dataTable" ref="E149:Q159" dt2D="1" dtr="1" r1="E17" r2="K13" ca="1"/>
        <v>12.697589291703297</v>
      </c>
      <c r="F149" s="347">
        <v>12.519599502330196</v>
      </c>
      <c r="G149" s="347">
        <v>12.344493755750417</v>
      </c>
      <c r="H149" s="347">
        <v>12.172217246290193</v>
      </c>
      <c r="I149" s="348">
        <v>12.002716338829446</v>
      </c>
      <c r="J149" s="348">
        <v>11.835938541077352</v>
      </c>
      <c r="K149" s="347">
        <v>11.671832476568175</v>
      </c>
      <c r="L149" s="347">
        <v>11.510347858356781</v>
      </c>
      <c r="M149" s="347">
        <v>11.351435463394193</v>
      </c>
      <c r="N149" s="347">
        <v>11.195047107564157</v>
      </c>
      <c r="O149" s="347">
        <v>11.041135621361967</v>
      </c>
      <c r="P149" s="347">
        <v>10.889654826197839</v>
      </c>
      <c r="Q149" s="347">
        <v>10.740559511307302</v>
      </c>
      <c r="S149" s="30"/>
    </row>
    <row r="150" spans="3:19" outlineLevel="1" x14ac:dyDescent="0.2">
      <c r="C150" s="450"/>
      <c r="D150" s="116">
        <f>D149-0.1</f>
        <v>4.8000000000000007</v>
      </c>
      <c r="E150" s="117">
        <v>12.50030481790442</v>
      </c>
      <c r="F150" s="117">
        <v>12.325262107049376</v>
      </c>
      <c r="G150" s="117">
        <v>12.153052706351357</v>
      </c>
      <c r="H150" s="117">
        <v>11.983622798427549</v>
      </c>
      <c r="I150" s="118">
        <v>11.816919714967561</v>
      </c>
      <c r="J150" s="118">
        <v>11.652891909524127</v>
      </c>
      <c r="K150" s="117">
        <v>11.491488931010577</v>
      </c>
      <c r="L150" s="117">
        <v>11.332661397884863</v>
      </c>
      <c r="M150" s="117">
        <v>11.176360973000873</v>
      </c>
      <c r="N150" s="117">
        <v>11.02254033910839</v>
      </c>
      <c r="O150" s="117">
        <v>10.871153174983226</v>
      </c>
      <c r="P150" s="117">
        <v>10.722154132170278</v>
      </c>
      <c r="Q150" s="117">
        <v>10.575498812322156</v>
      </c>
      <c r="S150" s="30"/>
    </row>
    <row r="151" spans="3:19" outlineLevel="1" x14ac:dyDescent="0.2">
      <c r="C151" s="450"/>
      <c r="D151" s="116">
        <f t="shared" ref="D151:D159" si="65">D150-0.1</f>
        <v>4.7000000000000011</v>
      </c>
      <c r="E151" s="117">
        <v>12.303020344105541</v>
      </c>
      <c r="F151" s="117">
        <v>12.130924711768554</v>
      </c>
      <c r="G151" s="117">
        <v>11.961611656952298</v>
      </c>
      <c r="H151" s="117">
        <v>11.795028350564909</v>
      </c>
      <c r="I151" s="118">
        <v>11.631123091105678</v>
      </c>
      <c r="J151" s="118">
        <v>11.469845277970903</v>
      </c>
      <c r="K151" s="117">
        <v>11.311145385452978</v>
      </c>
      <c r="L151" s="117">
        <v>11.154974937412943</v>
      </c>
      <c r="M151" s="117">
        <v>11.001286482607554</v>
      </c>
      <c r="N151" s="117">
        <v>10.850033570652618</v>
      </c>
      <c r="O151" s="117">
        <v>10.701170728604485</v>
      </c>
      <c r="P151" s="117">
        <v>10.554653438142719</v>
      </c>
      <c r="Q151" s="117">
        <v>10.410438113337014</v>
      </c>
      <c r="S151" s="30"/>
    </row>
    <row r="152" spans="3:19" outlineLevel="1" x14ac:dyDescent="0.2">
      <c r="C152" s="450"/>
      <c r="D152" s="116">
        <f t="shared" si="65"/>
        <v>4.6000000000000014</v>
      </c>
      <c r="E152" s="117">
        <v>12.10573587030666</v>
      </c>
      <c r="F152" s="117">
        <v>11.936587316487731</v>
      </c>
      <c r="G152" s="117">
        <v>11.770170607553236</v>
      </c>
      <c r="H152" s="117">
        <v>11.606433902702264</v>
      </c>
      <c r="I152" s="118">
        <v>11.445326467243792</v>
      </c>
      <c r="J152" s="118">
        <v>11.286798646417674</v>
      </c>
      <c r="K152" s="117">
        <v>11.13080183989538</v>
      </c>
      <c r="L152" s="117">
        <v>10.977288476941022</v>
      </c>
      <c r="M152" s="117">
        <v>10.826211992214235</v>
      </c>
      <c r="N152" s="117">
        <v>10.67752680219685</v>
      </c>
      <c r="O152" s="117">
        <v>10.531188282225743</v>
      </c>
      <c r="P152" s="117">
        <v>10.387152744115156</v>
      </c>
      <c r="Q152" s="117">
        <v>10.245377414351868</v>
      </c>
      <c r="S152" s="79"/>
    </row>
    <row r="153" spans="3:19" outlineLevel="1" x14ac:dyDescent="0.2">
      <c r="C153" s="450"/>
      <c r="D153" s="116">
        <f t="shared" si="65"/>
        <v>4.5000000000000018</v>
      </c>
      <c r="E153" s="117">
        <v>11.908451396507781</v>
      </c>
      <c r="F153" s="117">
        <v>11.742249921206913</v>
      </c>
      <c r="G153" s="117">
        <v>11.57872955815418</v>
      </c>
      <c r="H153" s="117">
        <v>11.417839454839623</v>
      </c>
      <c r="I153" s="118">
        <v>11.259529843381909</v>
      </c>
      <c r="J153" s="118">
        <v>11.103752014864453</v>
      </c>
      <c r="K153" s="117">
        <v>10.950458294337782</v>
      </c>
      <c r="L153" s="117">
        <v>10.799602016469105</v>
      </c>
      <c r="M153" s="117">
        <v>10.651137501820918</v>
      </c>
      <c r="N153" s="117">
        <v>10.505020033741081</v>
      </c>
      <c r="O153" s="117">
        <v>10.361205835847006</v>
      </c>
      <c r="P153" s="117">
        <v>10.219652050087598</v>
      </c>
      <c r="Q153" s="117">
        <v>10.080316715366724</v>
      </c>
      <c r="S153" s="79"/>
    </row>
    <row r="154" spans="3:19" outlineLevel="1" x14ac:dyDescent="0.2">
      <c r="C154" s="450"/>
      <c r="D154" s="116">
        <f t="shared" si="65"/>
        <v>4.4000000000000021</v>
      </c>
      <c r="E154" s="117">
        <v>11.711166922708902</v>
      </c>
      <c r="F154" s="117">
        <v>11.54791252592609</v>
      </c>
      <c r="G154" s="117">
        <v>11.387288508755118</v>
      </c>
      <c r="H154" s="117">
        <v>11.22924500697698</v>
      </c>
      <c r="I154" s="118">
        <v>11.073733219520022</v>
      </c>
      <c r="J154" s="118">
        <v>10.920705383311228</v>
      </c>
      <c r="K154" s="117">
        <v>10.770114748780184</v>
      </c>
      <c r="L154" s="117">
        <v>10.621915555997186</v>
      </c>
      <c r="M154" s="117">
        <v>10.476063011427597</v>
      </c>
      <c r="N154" s="117">
        <v>10.332513265285311</v>
      </c>
      <c r="O154" s="117">
        <v>10.191223389468265</v>
      </c>
      <c r="P154" s="117">
        <v>10.052151356060035</v>
      </c>
      <c r="Q154" s="117">
        <v>9.9152560163815799</v>
      </c>
      <c r="S154" s="79"/>
    </row>
    <row r="155" spans="3:19" outlineLevel="1" x14ac:dyDescent="0.2">
      <c r="C155" s="450"/>
      <c r="D155" s="119">
        <f t="shared" si="65"/>
        <v>4.3000000000000025</v>
      </c>
      <c r="E155" s="118">
        <v>11.513882448910021</v>
      </c>
      <c r="F155" s="118">
        <v>11.353575130645268</v>
      </c>
      <c r="G155" s="118">
        <v>11.19584745935606</v>
      </c>
      <c r="H155" s="118">
        <v>11.040650559114336</v>
      </c>
      <c r="I155" s="118">
        <v>10.88793659565814</v>
      </c>
      <c r="J155" s="118">
        <v>10.737658751758001</v>
      </c>
      <c r="K155" s="118">
        <v>10.589771203222584</v>
      </c>
      <c r="L155" s="118">
        <v>10.444229095525266</v>
      </c>
      <c r="M155" s="118">
        <v>10.300988521034277</v>
      </c>
      <c r="N155" s="118">
        <v>10.16000649682954</v>
      </c>
      <c r="O155" s="118">
        <v>10.021240943089522</v>
      </c>
      <c r="P155" s="118">
        <v>9.8846506620324757</v>
      </c>
      <c r="Q155" s="118">
        <v>9.750195317396436</v>
      </c>
      <c r="S155" s="30"/>
    </row>
    <row r="156" spans="3:19" outlineLevel="1" x14ac:dyDescent="0.2">
      <c r="C156" s="450"/>
      <c r="D156" s="116">
        <f t="shared" si="65"/>
        <v>4.2000000000000028</v>
      </c>
      <c r="E156" s="117">
        <v>11.316597975111144</v>
      </c>
      <c r="F156" s="117">
        <v>11.159237735364446</v>
      </c>
      <c r="G156" s="117">
        <v>11.004406409956999</v>
      </c>
      <c r="H156" s="117">
        <v>10.852056111251693</v>
      </c>
      <c r="I156" s="118">
        <v>10.702139971796255</v>
      </c>
      <c r="J156" s="118">
        <v>10.554612120204776</v>
      </c>
      <c r="K156" s="117">
        <v>10.409427657664986</v>
      </c>
      <c r="L156" s="117">
        <v>10.266542635053346</v>
      </c>
      <c r="M156" s="117">
        <v>10.125914030640958</v>
      </c>
      <c r="N156" s="117">
        <v>9.9874997283737699</v>
      </c>
      <c r="O156" s="117">
        <v>9.8512584967107806</v>
      </c>
      <c r="P156" s="117">
        <v>9.7171499680049145</v>
      </c>
      <c r="Q156" s="117">
        <v>9.5851346184112902</v>
      </c>
      <c r="S156" s="30"/>
    </row>
    <row r="157" spans="3:19" outlineLevel="1" x14ac:dyDescent="0.2">
      <c r="C157" s="450"/>
      <c r="D157" s="116">
        <f t="shared" si="65"/>
        <v>4.1000000000000032</v>
      </c>
      <c r="E157" s="117">
        <v>11.119313501312263</v>
      </c>
      <c r="F157" s="117">
        <v>10.964900340083624</v>
      </c>
      <c r="G157" s="117">
        <v>10.812965360557941</v>
      </c>
      <c r="H157" s="117">
        <v>10.66346166338905</v>
      </c>
      <c r="I157" s="118">
        <v>10.516343347934368</v>
      </c>
      <c r="J157" s="118">
        <v>10.37156548865155</v>
      </c>
      <c r="K157" s="117">
        <v>10.229084112107389</v>
      </c>
      <c r="L157" s="117">
        <v>10.088856174581425</v>
      </c>
      <c r="M157" s="117">
        <v>9.9508395402476388</v>
      </c>
      <c r="N157" s="117">
        <v>9.8149929599180012</v>
      </c>
      <c r="O157" s="117">
        <v>9.6812760503320412</v>
      </c>
      <c r="P157" s="117">
        <v>9.5496492739773551</v>
      </c>
      <c r="Q157" s="117">
        <v>9.4200739194261445</v>
      </c>
      <c r="S157" s="79"/>
    </row>
    <row r="158" spans="3:19" outlineLevel="1" x14ac:dyDescent="0.2">
      <c r="C158" s="450"/>
      <c r="D158" s="116">
        <f t="shared" si="65"/>
        <v>4.0000000000000036</v>
      </c>
      <c r="E158" s="117">
        <v>10.922029027513382</v>
      </c>
      <c r="F158" s="117">
        <v>10.770562944802805</v>
      </c>
      <c r="G158" s="117">
        <v>10.621524311158881</v>
      </c>
      <c r="H158" s="117">
        <v>10.474867215526409</v>
      </c>
      <c r="I158" s="118">
        <v>10.330546724072484</v>
      </c>
      <c r="J158" s="118">
        <v>10.188518857098327</v>
      </c>
      <c r="K158" s="117">
        <v>10.048740566549791</v>
      </c>
      <c r="L158" s="117">
        <v>9.9111697141095085</v>
      </c>
      <c r="M158" s="117">
        <v>9.7757650498543214</v>
      </c>
      <c r="N158" s="117">
        <v>9.6424861914622326</v>
      </c>
      <c r="O158" s="117">
        <v>9.5112936039533018</v>
      </c>
      <c r="P158" s="117">
        <v>9.3821485799497939</v>
      </c>
      <c r="Q158" s="117">
        <v>9.2550132204410023</v>
      </c>
      <c r="S158" s="79"/>
    </row>
    <row r="159" spans="3:19" outlineLevel="1" x14ac:dyDescent="0.2">
      <c r="C159" s="451"/>
      <c r="D159" s="120">
        <f t="shared" si="65"/>
        <v>3.9000000000000035</v>
      </c>
      <c r="E159" s="117">
        <v>10.724744553714503</v>
      </c>
      <c r="F159" s="117">
        <v>10.576225549521983</v>
      </c>
      <c r="G159" s="117">
        <v>10.430083261759821</v>
      </c>
      <c r="H159" s="117">
        <v>10.286272767663764</v>
      </c>
      <c r="I159" s="118">
        <v>10.144750100210601</v>
      </c>
      <c r="J159" s="118">
        <v>10.0054722255451</v>
      </c>
      <c r="K159" s="117">
        <v>9.868397020992191</v>
      </c>
      <c r="L159" s="117">
        <v>9.733483253637587</v>
      </c>
      <c r="M159" s="117">
        <v>9.6006905594610004</v>
      </c>
      <c r="N159" s="117">
        <v>9.4699794230064605</v>
      </c>
      <c r="O159" s="117">
        <v>9.3413111575745589</v>
      </c>
      <c r="P159" s="117">
        <v>9.2146478859222327</v>
      </c>
      <c r="Q159" s="117">
        <v>9.0899525214558548</v>
      </c>
      <c r="S159" s="79"/>
    </row>
    <row r="160" spans="3:19" outlineLevel="1" x14ac:dyDescent="0.2"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</row>
    <row r="161" spans="3:19" outlineLevel="1" x14ac:dyDescent="0.2">
      <c r="C161" s="391"/>
      <c r="D161" s="393"/>
      <c r="E161" s="394" t="str">
        <f>E147</f>
        <v>Discount Rate (WACC):</v>
      </c>
      <c r="F161" s="442"/>
      <c r="G161" s="395"/>
      <c r="H161" s="395"/>
      <c r="I161" s="395"/>
      <c r="J161" s="395"/>
      <c r="K161" s="395"/>
      <c r="L161" s="395"/>
      <c r="M161" s="395"/>
      <c r="N161" s="395"/>
      <c r="O161" s="395"/>
      <c r="P161" s="395"/>
      <c r="Q161" s="396"/>
    </row>
    <row r="162" spans="3:19" outlineLevel="1" x14ac:dyDescent="0.2">
      <c r="C162" s="392"/>
      <c r="D162" s="110">
        <f ca="1">$P$39</f>
        <v>7.7191881527517401</v>
      </c>
      <c r="E162" s="112">
        <f>E148</f>
        <v>7.0000000000000007E-2</v>
      </c>
      <c r="F162" s="443">
        <f t="shared" ref="F162:Q162" si="66">F148</f>
        <v>7.2500000000000009E-2</v>
      </c>
      <c r="G162" s="112">
        <f t="shared" si="66"/>
        <v>7.5000000000000011E-2</v>
      </c>
      <c r="H162" s="112">
        <f t="shared" si="66"/>
        <v>7.7500000000000013E-2</v>
      </c>
      <c r="I162" s="113">
        <f t="shared" si="66"/>
        <v>8.0000000000000016E-2</v>
      </c>
      <c r="J162" s="113">
        <f t="shared" si="66"/>
        <v>8.2500000000000018E-2</v>
      </c>
      <c r="K162" s="112">
        <f t="shared" si="66"/>
        <v>8.500000000000002E-2</v>
      </c>
      <c r="L162" s="112">
        <f t="shared" si="66"/>
        <v>8.7500000000000022E-2</v>
      </c>
      <c r="M162" s="112">
        <f t="shared" si="66"/>
        <v>9.0000000000000024E-2</v>
      </c>
      <c r="N162" s="112">
        <f t="shared" si="66"/>
        <v>9.2500000000000027E-2</v>
      </c>
      <c r="O162" s="112">
        <f t="shared" si="66"/>
        <v>9.5000000000000029E-2</v>
      </c>
      <c r="P162" s="112">
        <f t="shared" si="66"/>
        <v>9.7500000000000031E-2</v>
      </c>
      <c r="Q162" s="114">
        <f t="shared" si="66"/>
        <v>0.10000000000000003</v>
      </c>
      <c r="S162" s="30"/>
    </row>
    <row r="163" spans="3:19" outlineLevel="1" x14ac:dyDescent="0.2">
      <c r="C163" s="449" t="s">
        <v>252</v>
      </c>
      <c r="D163" s="121">
        <v>0.01</v>
      </c>
      <c r="E163" s="347">
        <f t="dataTable" ref="E163:Q173" dt2D="1" dtr="1" r1="E17" r2="P13" ca="1"/>
        <v>14.911927877410259</v>
      </c>
      <c r="F163" s="347">
        <v>14.245826198640369</v>
      </c>
      <c r="G163" s="347">
        <v>13.631207801981013</v>
      </c>
      <c r="H163" s="347">
        <v>13.062347272690303</v>
      </c>
      <c r="I163" s="348">
        <v>12.534337171296725</v>
      </c>
      <c r="J163" s="348">
        <v>12.042947002437819</v>
      </c>
      <c r="K163" s="347">
        <v>11.584510389948942</v>
      </c>
      <c r="L163" s="347">
        <v>11.15583408904843</v>
      </c>
      <c r="M163" s="347">
        <v>10.754124058753808</v>
      </c>
      <c r="N163" s="347">
        <v>10.376924975692077</v>
      </c>
      <c r="O163" s="347">
        <v>10.022070421957602</v>
      </c>
      <c r="P163" s="347">
        <v>9.6876416122080791</v>
      </c>
      <c r="Q163" s="347">
        <v>9.371932999590717</v>
      </c>
    </row>
    <row r="164" spans="3:19" outlineLevel="1" x14ac:dyDescent="0.2">
      <c r="C164" s="452"/>
      <c r="D164" s="122">
        <f>D163-0.1%</f>
        <v>9.0000000000000011E-3</v>
      </c>
      <c r="E164" s="117">
        <v>14.705582036670412</v>
      </c>
      <c r="F164" s="117">
        <v>14.057718393272197</v>
      </c>
      <c r="G164" s="117">
        <v>13.459179976046521</v>
      </c>
      <c r="H164" s="117">
        <v>12.904561185178935</v>
      </c>
      <c r="I164" s="118">
        <v>12.389217831820565</v>
      </c>
      <c r="J164" s="118">
        <v>11.909137645482412</v>
      </c>
      <c r="K164" s="117">
        <v>11.46083633919871</v>
      </c>
      <c r="L164" s="117">
        <v>11.041273534867001</v>
      </c>
      <c r="M164" s="117">
        <v>10.647784257985576</v>
      </c>
      <c r="N164" s="117">
        <v>10.278022738740773</v>
      </c>
      <c r="O164" s="117">
        <v>9.9299160152444603</v>
      </c>
      <c r="P164" s="117">
        <v>9.6016254006433481</v>
      </c>
      <c r="Q164" s="117">
        <v>9.2915143018166848</v>
      </c>
    </row>
    <row r="165" spans="3:19" outlineLevel="1" x14ac:dyDescent="0.2">
      <c r="C165" s="452"/>
      <c r="D165" s="122">
        <f t="shared" ref="D165:D173" si="67">D164-0.1%</f>
        <v>8.0000000000000002E-3</v>
      </c>
      <c r="E165" s="117">
        <v>14.505892513373793</v>
      </c>
      <c r="F165" s="117">
        <v>13.875443388070474</v>
      </c>
      <c r="G165" s="117">
        <v>13.292287309095142</v>
      </c>
      <c r="H165" s="117">
        <v>12.751315704502426</v>
      </c>
      <c r="I165" s="118">
        <v>12.24812958510763</v>
      </c>
      <c r="J165" s="118">
        <v>11.778920486029163</v>
      </c>
      <c r="K165" s="117">
        <v>11.340374601454979</v>
      </c>
      <c r="L165" s="117">
        <v>10.929595007205862</v>
      </c>
      <c r="M165" s="117">
        <v>10.544038110894618</v>
      </c>
      <c r="N165" s="117">
        <v>10.181461383137428</v>
      </c>
      <c r="O165" s="117">
        <v>9.8398801006396646</v>
      </c>
      <c r="P165" s="117">
        <v>9.5175313390577188</v>
      </c>
      <c r="Q165" s="117">
        <v>9.2128438366029624</v>
      </c>
    </row>
    <row r="166" spans="3:19" outlineLevel="1" x14ac:dyDescent="0.2">
      <c r="C166" s="452"/>
      <c r="D166" s="122">
        <f t="shared" si="67"/>
        <v>7.0000000000000001E-3</v>
      </c>
      <c r="E166" s="117">
        <v>14.312542340023093</v>
      </c>
      <c r="F166" s="117">
        <v>13.698734031882543</v>
      </c>
      <c r="G166" s="117">
        <v>13.130303249995281</v>
      </c>
      <c r="H166" s="117">
        <v>12.602417613348655</v>
      </c>
      <c r="I166" s="118">
        <v>12.110906769811484</v>
      </c>
      <c r="J166" s="118">
        <v>11.652152787753481</v>
      </c>
      <c r="K166" s="117">
        <v>11.223001626217494</v>
      </c>
      <c r="L166" s="117">
        <v>10.820691101349963</v>
      </c>
      <c r="M166" s="117">
        <v>10.442791870962475</v>
      </c>
      <c r="N166" s="117">
        <v>10.087158772694394</v>
      </c>
      <c r="O166" s="117">
        <v>9.7518904568213411</v>
      </c>
      <c r="P166" s="117">
        <v>9.4352957097723227</v>
      </c>
      <c r="Q166" s="117">
        <v>9.1358652093508219</v>
      </c>
    </row>
    <row r="167" spans="3:19" outlineLevel="1" x14ac:dyDescent="0.2">
      <c r="C167" s="452"/>
      <c r="D167" s="122">
        <f t="shared" si="67"/>
        <v>6.0000000000000001E-3</v>
      </c>
      <c r="E167" s="117">
        <v>14.125234359589603</v>
      </c>
      <c r="F167" s="117">
        <v>13.527339242798011</v>
      </c>
      <c r="G167" s="117">
        <v>12.973014381014252</v>
      </c>
      <c r="H167" s="117">
        <v>12.457684503765618</v>
      </c>
      <c r="I167" s="118">
        <v>11.977392679253077</v>
      </c>
      <c r="J167" s="118">
        <v>11.528699277668016</v>
      </c>
      <c r="K167" s="117">
        <v>11.108600118707541</v>
      </c>
      <c r="L167" s="117">
        <v>10.714459683981328</v>
      </c>
      <c r="M167" s="117">
        <v>10.343956255790621</v>
      </c>
      <c r="N167" s="117">
        <v>9.9950365694292369</v>
      </c>
      <c r="O167" s="117">
        <v>9.6658781083697232</v>
      </c>
      <c r="P167" s="117">
        <v>9.354857580580596</v>
      </c>
      <c r="Q167" s="117">
        <v>9.0605244252317085</v>
      </c>
    </row>
    <row r="168" spans="3:19" outlineLevel="1" x14ac:dyDescent="0.2">
      <c r="C168" s="452"/>
      <c r="D168" s="123">
        <f t="shared" si="67"/>
        <v>5.0000000000000001E-3</v>
      </c>
      <c r="E168" s="118">
        <v>13.943689701630994</v>
      </c>
      <c r="F168" s="118">
        <v>13.361022817834499</v>
      </c>
      <c r="G168" s="118">
        <v>12.820219479718395</v>
      </c>
      <c r="H168" s="118">
        <v>12.316944031688319</v>
      </c>
      <c r="I168" s="118">
        <v>11.84743896444289</v>
      </c>
      <c r="J168" s="118">
        <v>11.408431664617014</v>
      </c>
      <c r="K168" s="118">
        <v>10.997058648885336</v>
      </c>
      <c r="L168" s="118">
        <v>10.610803573700419</v>
      </c>
      <c r="M168" s="118">
        <v>10.247446184505167</v>
      </c>
      <c r="N168" s="118">
        <v>9.9050200165244231</v>
      </c>
      <c r="O168" s="118">
        <v>9.5817771454392524</v>
      </c>
      <c r="P168" s="118">
        <v>9.2761586541822076</v>
      </c>
      <c r="Q168" s="118">
        <v>8.9867697628835206</v>
      </c>
    </row>
    <row r="169" spans="3:19" outlineLevel="1" x14ac:dyDescent="0.2">
      <c r="C169" s="452"/>
      <c r="D169" s="122">
        <f t="shared" si="67"/>
        <v>4.0000000000000001E-3</v>
      </c>
      <c r="E169" s="117">
        <v>13.767646396943855</v>
      </c>
      <c r="F169" s="117">
        <v>13.199562346884521</v>
      </c>
      <c r="G169" s="117">
        <v>12.671728660149185</v>
      </c>
      <c r="H169" s="117">
        <v>12.180033232320611</v>
      </c>
      <c r="I169" s="118">
        <v>11.720905084232973</v>
      </c>
      <c r="J169" s="118">
        <v>11.291228194573684</v>
      </c>
      <c r="K169" s="117">
        <v>10.888271289429113</v>
      </c>
      <c r="L169" s="117">
        <v>10.509630244504082</v>
      </c>
      <c r="M169" s="117">
        <v>10.153180533482162</v>
      </c>
      <c r="N169" s="117">
        <v>9.817037736001641</v>
      </c>
      <c r="O169" s="117">
        <v>9.4995245553204413</v>
      </c>
      <c r="P169" s="117">
        <v>9.1991431272789672</v>
      </c>
      <c r="Q169" s="117">
        <v>8.9145516560009206</v>
      </c>
    </row>
    <row r="170" spans="3:19" outlineLevel="1" x14ac:dyDescent="0.2">
      <c r="C170" s="452"/>
      <c r="D170" s="122">
        <f t="shared" si="67"/>
        <v>3.0000000000000001E-3</v>
      </c>
      <c r="E170" s="117">
        <v>13.596858116277225</v>
      </c>
      <c r="F170" s="117">
        <v>13.042748220422315</v>
      </c>
      <c r="G170" s="117">
        <v>12.527362585568007</v>
      </c>
      <c r="H170" s="117">
        <v>12.046797890654044</v>
      </c>
      <c r="I170" s="118">
        <v>11.597657798314223</v>
      </c>
      <c r="J170" s="118">
        <v>11.17697323949999</v>
      </c>
      <c r="K170" s="117">
        <v>10.782137280203528</v>
      </c>
      <c r="L170" s="117">
        <v>10.410851550318309</v>
      </c>
      <c r="M170" s="117">
        <v>10.061081908919457</v>
      </c>
      <c r="N170" s="117">
        <v>9.7310215399598139</v>
      </c>
      <c r="O170" s="117">
        <v>9.4190600649868177</v>
      </c>
      <c r="P170" s="117">
        <v>9.1237575586170685</v>
      </c>
      <c r="Q170" s="117">
        <v>8.8438225822499223</v>
      </c>
    </row>
    <row r="171" spans="3:19" outlineLevel="1" x14ac:dyDescent="0.2">
      <c r="C171" s="452"/>
      <c r="D171" s="124">
        <f t="shared" si="67"/>
        <v>2E-3</v>
      </c>
      <c r="E171" s="117">
        <v>13.431093020336089</v>
      </c>
      <c r="F171" s="117">
        <v>12.890382721661164</v>
      </c>
      <c r="G171" s="117">
        <v>12.386951745906863</v>
      </c>
      <c r="H171" s="117">
        <v>11.91709196201176</v>
      </c>
      <c r="I171" s="118">
        <v>11.477570699213903</v>
      </c>
      <c r="J171" s="118">
        <v>11.065556916850495</v>
      </c>
      <c r="K171" s="117">
        <v>10.678560716983382</v>
      </c>
      <c r="L171" s="117">
        <v>10.314383468862028</v>
      </c>
      <c r="M171" s="117">
        <v>9.9710764349149965</v>
      </c>
      <c r="N171" s="117">
        <v>9.6469062543277531</v>
      </c>
      <c r="O171" s="117">
        <v>9.3403259938001586</v>
      </c>
      <c r="P171" s="117">
        <v>9.0499507453198156</v>
      </c>
      <c r="Q171" s="117">
        <v>8.7745369589836368</v>
      </c>
    </row>
    <row r="172" spans="3:19" outlineLevel="1" x14ac:dyDescent="0.2">
      <c r="C172" s="452"/>
      <c r="D172" s="124">
        <f t="shared" si="67"/>
        <v>1E-3</v>
      </c>
      <c r="E172" s="117">
        <v>13.27013270978455</v>
      </c>
      <c r="F172" s="117">
        <v>12.74227919489333</v>
      </c>
      <c r="G172" s="117">
        <v>12.250335793804126</v>
      </c>
      <c r="H172" s="117">
        <v>11.790777038039863</v>
      </c>
      <c r="I172" s="118">
        <v>11.360523779837639</v>
      </c>
      <c r="J172" s="118">
        <v>10.956874737088098</v>
      </c>
      <c r="K172" s="117">
        <v>10.577450262411331</v>
      </c>
      <c r="L172" s="117">
        <v>10.220145863277567</v>
      </c>
      <c r="M172" s="117">
        <v>9.8830935558319855</v>
      </c>
      <c r="N172" s="117">
        <v>9.564629554173985</v>
      </c>
      <c r="O172" s="117">
        <v>9.2632671156174684</v>
      </c>
      <c r="P172" s="117">
        <v>8.9776736069095531</v>
      </c>
      <c r="Q172" s="117">
        <v>8.7066510452782868</v>
      </c>
    </row>
    <row r="173" spans="3:19" outlineLevel="1" x14ac:dyDescent="0.2">
      <c r="C173" s="453"/>
      <c r="D173" s="125">
        <f t="shared" si="67"/>
        <v>0</v>
      </c>
      <c r="E173" s="117">
        <v>13.113771265248765</v>
      </c>
      <c r="F173" s="117">
        <v>12.598261282657026</v>
      </c>
      <c r="G173" s="117">
        <v>12.117362933757462</v>
      </c>
      <c r="H173" s="117">
        <v>11.667721854041432</v>
      </c>
      <c r="I173" s="118">
        <v>11.246403033445784</v>
      </c>
      <c r="J173" s="118">
        <v>10.850827276835096</v>
      </c>
      <c r="K173" s="117">
        <v>10.478718877358626</v>
      </c>
      <c r="L173" s="117">
        <v>10.128062260106466</v>
      </c>
      <c r="M173" s="117">
        <v>9.797065851839708</v>
      </c>
      <c r="N173" s="117">
        <v>9.4841318096992193</v>
      </c>
      <c r="O173" s="117">
        <v>9.1878305296070462</v>
      </c>
      <c r="P173" s="117">
        <v>8.9068790764666819</v>
      </c>
      <c r="Q173" s="117">
        <v>8.6401228498470459</v>
      </c>
    </row>
    <row r="174" spans="3:19" outlineLevel="1" x14ac:dyDescent="0.2"/>
    <row r="183" spans="4:12" x14ac:dyDescent="0.2">
      <c r="D183" s="126"/>
      <c r="E183" s="126"/>
      <c r="F183" s="126"/>
      <c r="G183" s="126"/>
      <c r="H183" s="126"/>
      <c r="I183" s="126"/>
      <c r="J183" s="126"/>
      <c r="K183" s="126"/>
      <c r="L183" s="126"/>
    </row>
    <row r="184" spans="4:12" x14ac:dyDescent="0.2">
      <c r="D184" s="126"/>
    </row>
  </sheetData>
  <mergeCells count="3">
    <mergeCell ref="C149:C159"/>
    <mergeCell ref="C163:C173"/>
    <mergeCell ref="C143:C145"/>
  </mergeCells>
  <dataValidations count="1">
    <dataValidation type="whole" showInputMessage="1" showErrorMessage="1" sqref="G6 G77" xr:uid="{439355E2-17BF-4F27-BB8D-DF1D73040368}">
      <formula1>0</formula1>
      <formula2>1</formula2>
    </dataValidation>
  </dataValidations>
  <pageMargins left="0.75" right="0.75" top="1" bottom="1" header="0.5" footer="0.5"/>
  <pageSetup scale="34" orientation="portrait" horizontalDpi="200" verticalDpi="200" r:id="rId1"/>
  <headerFooter alignWithMargins="0"/>
  <rowBreaks count="3" manualBreakCount="3">
    <brk id="41" max="19" man="1"/>
    <brk id="75" max="19" man="1"/>
    <brk id="138" max="19" man="1"/>
  </rowBreaks>
  <ignoredErrors>
    <ignoredError sqref="F95:G95" formulaRange="1"/>
    <ignoredError xmlns:x16r3="http://schemas.microsoft.com/office/spreadsheetml/2018/08/main" sqref="D142 D162 D148" x16r3:misleadingFormat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B93305-7966-45BC-8AA1-B26105981EFF}">
          <x14:formula1>
            <xm:f>EZJ!$C$31:$C$33</xm:f>
          </x14:formula1>
          <xm:sqref>E8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D14B-6ACE-4197-871A-3DAC94301D3F}">
  <sheetPr>
    <pageSetUpPr autoPageBreaks="0"/>
  </sheetPr>
  <dimension ref="B2:AA245"/>
  <sheetViews>
    <sheetView showGridLines="0" zoomScaleNormal="100" workbookViewId="0">
      <selection activeCell="B2" sqref="B2"/>
    </sheetView>
  </sheetViews>
  <sheetFormatPr baseColWidth="10" defaultColWidth="9.1640625" defaultRowHeight="16" x14ac:dyDescent="0.2"/>
  <cols>
    <col min="1" max="1" width="2.6640625" style="361" customWidth="1"/>
    <col min="2" max="14" width="12.6640625" style="361" customWidth="1"/>
    <col min="15" max="15" width="9.1640625" style="361"/>
    <col min="16" max="16" width="30.33203125" style="361" bestFit="1" customWidth="1"/>
    <col min="17" max="25" width="11.5" style="361" customWidth="1"/>
    <col min="26" max="34" width="12.6640625" style="361" customWidth="1"/>
    <col min="35" max="16384" width="9.1640625" style="361"/>
  </cols>
  <sheetData>
    <row r="2" spans="2:18" x14ac:dyDescent="0.2">
      <c r="B2" s="397" t="str">
        <f>Company_Name&amp;" - Valuation Graphs and Analysis"</f>
        <v>easyJet plc - Valuation Graphs and Analysis</v>
      </c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P2" s="362"/>
    </row>
    <row r="4" spans="2:18" x14ac:dyDescent="0.2">
      <c r="P4" s="361" t="str">
        <f>"Annual Revenue, "&amp;Public_Comps!$P$8&amp;" - "&amp;Public_Comps!$Q$8</f>
        <v>Annual Revenue, CY 23 - CY 24</v>
      </c>
      <c r="Q4" s="361" t="str">
        <f>Public_Comps!P8</f>
        <v>CY 23</v>
      </c>
      <c r="R4" s="361" t="str">
        <f>Public_Comps!Q8</f>
        <v>CY 24</v>
      </c>
    </row>
    <row r="5" spans="2:18" x14ac:dyDescent="0.2">
      <c r="P5" s="361" t="str">
        <f>"Annual EBITDA, "&amp;Public_Comps!$P$8&amp;" - "&amp;Public_Comps!$Q$8</f>
        <v>Annual EBITDA, CY 23 - CY 24</v>
      </c>
      <c r="Q5" s="361" t="str">
        <f>Public_Comps!S8</f>
        <v>CY 23</v>
      </c>
      <c r="R5" s="361" t="str">
        <f>Public_Comps!T8</f>
        <v>CY 24</v>
      </c>
    </row>
    <row r="11" spans="2:18" x14ac:dyDescent="0.2">
      <c r="P11" s="362"/>
    </row>
    <row r="19" spans="16:27" x14ac:dyDescent="0.2">
      <c r="P19" s="361" t="str">
        <f>"2-Year Revenue CAGR, "&amp;Public_Comps!$O$8&amp;" - "&amp;Public_Comps!$Q$8</f>
        <v>2-Year Revenue CAGR, CY 22 - CY 24</v>
      </c>
    </row>
    <row r="20" spans="16:27" x14ac:dyDescent="0.2">
      <c r="P20" s="361" t="str">
        <f>"2-Year EBITDA CAGR, "&amp;Public_Comps!$O$8&amp;" - "&amp;Public_Comps!$Q$8</f>
        <v>2-Year EBITDA CAGR, CY 22 - CY 24</v>
      </c>
    </row>
    <row r="22" spans="16:27" x14ac:dyDescent="0.2">
      <c r="P22" s="361" t="str">
        <f>Public_Comps!$Q$8&amp;" Revenue Multiples"</f>
        <v>CY 24 Revenue Multiples</v>
      </c>
    </row>
    <row r="23" spans="16:27" x14ac:dyDescent="0.2">
      <c r="P23" s="361" t="str">
        <f>Public_Comps!$Q$8&amp;" EBITDA Multiples"</f>
        <v>CY 24 EBITDA Multiples</v>
      </c>
    </row>
    <row r="29" spans="16:27" x14ac:dyDescent="0.2">
      <c r="P29" s="362" t="s">
        <v>253</v>
      </c>
    </row>
    <row r="30" spans="16:27" x14ac:dyDescent="0.2">
      <c r="Q30" s="363" t="s">
        <v>227</v>
      </c>
      <c r="R30" s="364"/>
      <c r="T30" s="363" t="s">
        <v>254</v>
      </c>
      <c r="U30" s="364"/>
      <c r="W30" s="363" t="s">
        <v>255</v>
      </c>
      <c r="X30" s="364"/>
      <c r="Z30" s="363" t="s">
        <v>256</v>
      </c>
      <c r="AA30" s="363"/>
    </row>
    <row r="31" spans="16:27" x14ac:dyDescent="0.2">
      <c r="Q31" s="379" t="str">
        <f>Public_Comps!P8</f>
        <v>CY 23</v>
      </c>
      <c r="R31" s="379" t="str">
        <f>Public_Comps!Q8</f>
        <v>CY 24</v>
      </c>
      <c r="S31" s="365"/>
      <c r="T31" s="379" t="str">
        <f>Public_Comps!S8</f>
        <v>CY 23</v>
      </c>
      <c r="U31" s="380" t="str">
        <f>Public_Comps!T8</f>
        <v>CY 24</v>
      </c>
      <c r="W31" s="380" t="str">
        <f>Public_Comps!P27</f>
        <v>CY 23</v>
      </c>
      <c r="X31" s="380" t="str">
        <f>Public_Comps!Q27</f>
        <v>CY 24</v>
      </c>
      <c r="Z31" s="380" t="str">
        <f>Public_Comps!S27</f>
        <v>CY 23</v>
      </c>
      <c r="AA31" s="380" t="str">
        <f>Public_Comps!T27</f>
        <v>CY 24</v>
      </c>
    </row>
    <row r="32" spans="16:27" x14ac:dyDescent="0.2">
      <c r="P32" s="361" t="s">
        <v>257</v>
      </c>
      <c r="Q32" s="381">
        <f>Public_Comps!P9</f>
        <v>10051.66</v>
      </c>
      <c r="R32" s="381">
        <f>Public_Comps!Q9</f>
        <v>11420.625</v>
      </c>
      <c r="T32" s="381">
        <f>Public_Comps!S9</f>
        <v>2036.42</v>
      </c>
      <c r="U32" s="381">
        <f>Public_Comps!T9</f>
        <v>2520.7649999999999</v>
      </c>
      <c r="V32" s="366"/>
      <c r="W32" s="383">
        <f>Public_Comps!P28</f>
        <v>1.3227395276004164</v>
      </c>
      <c r="X32" s="383">
        <f>Public_Comps!Q28</f>
        <v>1.1641856728506541</v>
      </c>
      <c r="Z32" s="383">
        <f>Public_Comps!S28</f>
        <v>6.5289714302550559</v>
      </c>
      <c r="AA32" s="383">
        <f>Public_Comps!T28</f>
        <v>5.2744813578417666</v>
      </c>
    </row>
    <row r="33" spans="16:27" x14ac:dyDescent="0.2">
      <c r="P33" s="361" t="str">
        <f>Ticker</f>
        <v>LSE:EZJ</v>
      </c>
      <c r="Q33" s="382">
        <f>Public_Comps!P23</f>
        <v>6310.6334990999985</v>
      </c>
      <c r="R33" s="382">
        <f>Public_Comps!Q23</f>
        <v>6940.9992371999979</v>
      </c>
      <c r="T33" s="382">
        <f>Public_Comps!S23</f>
        <v>715.08269909999899</v>
      </c>
      <c r="U33" s="382">
        <f>Public_Comps!T23</f>
        <v>853.71558719999894</v>
      </c>
      <c r="V33" s="366"/>
      <c r="W33" s="383">
        <f>Public_Comps!P42</f>
        <v>0.54290691103692779</v>
      </c>
      <c r="X33" s="383">
        <f>Public_Comps!Q42</f>
        <v>0.49360134219876733</v>
      </c>
      <c r="Z33" s="383">
        <f>Public_Comps!S42</f>
        <v>4.7911752640563137</v>
      </c>
      <c r="AA33" s="383">
        <f>Public_Comps!T42</f>
        <v>4.013147459236813</v>
      </c>
    </row>
    <row r="34" spans="16:27" x14ac:dyDescent="0.2">
      <c r="P34" s="361" t="s">
        <v>258</v>
      </c>
      <c r="Q34" s="382">
        <f>Public_Comps!P11</f>
        <v>5088.5174999999999</v>
      </c>
      <c r="R34" s="382">
        <f>Public_Comps!Q11</f>
        <v>5518.4125000000004</v>
      </c>
      <c r="T34" s="382">
        <f>Public_Comps!S11</f>
        <v>552.47749999999996</v>
      </c>
      <c r="U34" s="382">
        <f>Public_Comps!T11</f>
        <v>612.49499999999989</v>
      </c>
      <c r="V34" s="366"/>
      <c r="W34" s="383">
        <f>Public_Comps!P30</f>
        <v>0.28336257072909743</v>
      </c>
      <c r="X34" s="383">
        <f>Public_Comps!Q30</f>
        <v>0.26128807877265425</v>
      </c>
      <c r="Z34" s="383">
        <f>Public_Comps!S30</f>
        <v>2.6098717142327068</v>
      </c>
      <c r="AA34" s="383">
        <f>Public_Comps!T30</f>
        <v>2.354134156197194</v>
      </c>
    </row>
    <row r="35" spans="16:27" x14ac:dyDescent="0.2">
      <c r="P35" s="361" t="s">
        <v>259</v>
      </c>
      <c r="Q35" s="382">
        <f>Public_Comps!P10</f>
        <v>4282.335</v>
      </c>
      <c r="R35" s="382">
        <f>Public_Comps!Q10</f>
        <v>5352.8649999999998</v>
      </c>
      <c r="T35" s="382">
        <f>Public_Comps!S10</f>
        <v>731.73500000000001</v>
      </c>
      <c r="U35" s="382">
        <f>Public_Comps!T10</f>
        <v>1154.165</v>
      </c>
      <c r="W35" s="383">
        <f>Public_Comps!P29</f>
        <v>1.1623854742798028</v>
      </c>
      <c r="X35" s="383">
        <f>Public_Comps!Q29</f>
        <v>0.92991771696091707</v>
      </c>
      <c r="Z35" s="383">
        <f>Public_Comps!S29</f>
        <v>6.8026321004188661</v>
      </c>
      <c r="AA35" s="383">
        <f>Public_Comps!T29</f>
        <v>4.3128356864053226</v>
      </c>
    </row>
    <row r="36" spans="16:27" x14ac:dyDescent="0.2">
      <c r="P36" s="361" t="s">
        <v>260</v>
      </c>
      <c r="Q36" s="382">
        <f>Public_Comps!P13</f>
        <v>2412.2199999999998</v>
      </c>
      <c r="R36" s="382">
        <f>Public_Comps!Q13</f>
        <v>2915.87</v>
      </c>
      <c r="T36" s="382">
        <f>Public_Comps!S13</f>
        <v>755.68</v>
      </c>
      <c r="U36" s="382">
        <f>Public_Comps!T13</f>
        <v>1038.98</v>
      </c>
      <c r="W36" s="383">
        <f>Public_Comps!P32</f>
        <v>1.1298666788269729</v>
      </c>
      <c r="X36" s="383">
        <f>Public_Comps!Q32</f>
        <v>0.93470799452650499</v>
      </c>
      <c r="Z36" s="383">
        <f>Public_Comps!S32</f>
        <v>3.6066681664196487</v>
      </c>
      <c r="AA36" s="383">
        <f>Public_Comps!T32</f>
        <v>2.6232333634911162</v>
      </c>
    </row>
    <row r="37" spans="16:27" x14ac:dyDescent="0.2">
      <c r="P37" s="361" t="s">
        <v>261</v>
      </c>
      <c r="Q37" s="382">
        <f>Public_Comps!P14</f>
        <v>2070.58</v>
      </c>
      <c r="R37" s="382">
        <f>Public_Comps!Q14</f>
        <v>2295.52</v>
      </c>
      <c r="T37" s="382">
        <f>Public_Comps!S14</f>
        <v>282.04000000000002</v>
      </c>
      <c r="U37" s="382">
        <f>Public_Comps!T14</f>
        <v>416.77</v>
      </c>
      <c r="W37" s="383">
        <f>Public_Comps!P33</f>
        <v>0.49092524799814541</v>
      </c>
      <c r="X37" s="383">
        <f>Public_Comps!Q33</f>
        <v>0.44281905624869305</v>
      </c>
      <c r="Z37" s="383">
        <f>Public_Comps!S33</f>
        <v>3.6040987094029209</v>
      </c>
      <c r="AA37" s="383">
        <f>Public_Comps!T33</f>
        <v>2.4389951292079561</v>
      </c>
    </row>
    <row r="38" spans="16:27" x14ac:dyDescent="0.2">
      <c r="P38" s="361" t="s">
        <v>262</v>
      </c>
      <c r="Q38" s="382">
        <f>Public_Comps!P12</f>
        <v>1214.0999999999999</v>
      </c>
      <c r="R38" s="382">
        <f>Public_Comps!Q12</f>
        <v>1259.29</v>
      </c>
      <c r="T38" s="382">
        <f>Public_Comps!S12</f>
        <v>366.08</v>
      </c>
      <c r="U38" s="382">
        <f>Public_Comps!T12</f>
        <v>380.18</v>
      </c>
      <c r="V38" s="366"/>
      <c r="W38" s="383">
        <f>Public_Comps!P31</f>
        <v>1.7719718309859158</v>
      </c>
      <c r="X38" s="383">
        <f>Public_Comps!Q31</f>
        <v>1.7083840894472284</v>
      </c>
      <c r="Z38" s="383">
        <f>Public_Comps!S31</f>
        <v>5.8767236669580427</v>
      </c>
      <c r="AA38" s="383">
        <f>Public_Comps!T31</f>
        <v>5.6587695302225267</v>
      </c>
    </row>
    <row r="39" spans="16:27" x14ac:dyDescent="0.2">
      <c r="P39" s="361" t="s">
        <v>263</v>
      </c>
      <c r="Q39" s="382">
        <f>Public_Comps!P15</f>
        <v>484.55</v>
      </c>
      <c r="R39" s="382">
        <f>Public_Comps!Q15</f>
        <v>538.03</v>
      </c>
      <c r="T39" s="382">
        <f>Public_Comps!S15</f>
        <v>144.55000000000001</v>
      </c>
      <c r="U39" s="382">
        <f>Public_Comps!T15</f>
        <v>181.01</v>
      </c>
      <c r="V39" s="366"/>
      <c r="W39" s="383">
        <f>Public_Comps!P34</f>
        <v>3.1771746981735625</v>
      </c>
      <c r="X39" s="383">
        <f>Public_Comps!Q34</f>
        <v>2.8613646079214909</v>
      </c>
      <c r="Z39" s="383">
        <f>Public_Comps!S34</f>
        <v>10.650294015911447</v>
      </c>
      <c r="AA39" s="383">
        <f>Public_Comps!T34</f>
        <v>8.5050549693387101</v>
      </c>
    </row>
    <row r="40" spans="16:27" x14ac:dyDescent="0.2">
      <c r="Q40" s="368"/>
      <c r="R40" s="368"/>
      <c r="T40" s="368"/>
      <c r="U40" s="368"/>
      <c r="V40" s="366"/>
      <c r="W40" s="367"/>
      <c r="X40" s="367"/>
      <c r="Z40" s="367"/>
      <c r="AA40" s="367"/>
    </row>
    <row r="41" spans="16:27" x14ac:dyDescent="0.2">
      <c r="P41" s="362" t="s">
        <v>264</v>
      </c>
    </row>
    <row r="42" spans="16:27" x14ac:dyDescent="0.2">
      <c r="Q42" s="363" t="s">
        <v>265</v>
      </c>
      <c r="R42" s="364"/>
      <c r="T42" s="363" t="s">
        <v>266</v>
      </c>
      <c r="U42" s="363"/>
      <c r="W42" s="363" t="s">
        <v>267</v>
      </c>
      <c r="X42" s="364"/>
      <c r="Z42" s="363" t="s">
        <v>268</v>
      </c>
      <c r="AA42" s="363"/>
    </row>
    <row r="43" spans="16:27" x14ac:dyDescent="0.2">
      <c r="Q43" s="384" t="str">
        <f>Public_Comps!X8</f>
        <v>CAGR</v>
      </c>
      <c r="R43" s="369"/>
      <c r="T43" s="384" t="str">
        <f>Public_Comps!Y8</f>
        <v>CAGR</v>
      </c>
      <c r="U43" s="369"/>
      <c r="W43" s="380" t="str">
        <f>Public_Comps!Q27</f>
        <v>CY 24</v>
      </c>
      <c r="X43" s="369"/>
      <c r="Z43" s="380" t="str">
        <f>Public_Comps!T27</f>
        <v>CY 24</v>
      </c>
      <c r="AA43" s="369"/>
    </row>
    <row r="44" spans="16:27" x14ac:dyDescent="0.2">
      <c r="P44" s="361" t="s">
        <v>259</v>
      </c>
      <c r="Q44" s="370">
        <f>Public_Comps!X10</f>
        <v>0.35609389147149018</v>
      </c>
      <c r="R44" s="370" t="e">
        <f t="shared" ref="R44:R51" si="0">IF($P44=Ticker,Q44,NA())</f>
        <v>#N/A</v>
      </c>
      <c r="T44" s="370">
        <f>Public_Comps!Y10</f>
        <v>2.2150308039012678</v>
      </c>
      <c r="U44" s="370" t="e">
        <f t="shared" ref="U44:U51" si="1">IF($P44=Ticker,T44,NA())</f>
        <v>#N/A</v>
      </c>
      <c r="W44" s="371">
        <f>Public_Comps!Q29</f>
        <v>0.92991771696091707</v>
      </c>
      <c r="X44" s="371" t="e">
        <f t="shared" ref="X44:X51" si="2">IF($P44=Ticker,W44,NA())</f>
        <v>#N/A</v>
      </c>
      <c r="Z44" s="367">
        <f>Public_Comps!T29</f>
        <v>4.3128356864053226</v>
      </c>
      <c r="AA44" s="371" t="e">
        <f t="shared" ref="AA44:AA51" si="3">IF($P44=Ticker,Z44,NA())</f>
        <v>#N/A</v>
      </c>
    </row>
    <row r="45" spans="16:27" x14ac:dyDescent="0.2">
      <c r="P45" s="361" t="s">
        <v>260</v>
      </c>
      <c r="Q45" s="370">
        <f>Public_Comps!X13</f>
        <v>0.33824060967866387</v>
      </c>
      <c r="R45" s="370" t="e">
        <f t="shared" si="0"/>
        <v>#N/A</v>
      </c>
      <c r="T45" s="370">
        <f>Public_Comps!Y13</f>
        <v>0.50914411084649536</v>
      </c>
      <c r="U45" s="370" t="e">
        <f t="shared" si="1"/>
        <v>#N/A</v>
      </c>
      <c r="W45" s="371">
        <f>Public_Comps!Q32</f>
        <v>0.93470799452650499</v>
      </c>
      <c r="X45" s="371" t="e">
        <f t="shared" si="2"/>
        <v>#N/A</v>
      </c>
      <c r="Z45" s="367">
        <f>Public_Comps!T32</f>
        <v>2.6232333634911162</v>
      </c>
      <c r="AA45" s="371" t="e">
        <f t="shared" si="3"/>
        <v>#N/A</v>
      </c>
    </row>
    <row r="46" spans="16:27" x14ac:dyDescent="0.2">
      <c r="P46" s="361" t="s">
        <v>8</v>
      </c>
      <c r="Q46" s="370">
        <f>Public_Comps!X23</f>
        <v>0.2366495354946756</v>
      </c>
      <c r="R46" s="370">
        <f t="shared" si="0"/>
        <v>0.2366495354946756</v>
      </c>
      <c r="T46" s="370">
        <f>Public_Comps!Y23</f>
        <v>0.64730731863409896</v>
      </c>
      <c r="U46" s="370">
        <f t="shared" si="1"/>
        <v>0.64730731863409896</v>
      </c>
      <c r="W46" s="371">
        <f>Public_Comps!Q42</f>
        <v>0.49360134219876733</v>
      </c>
      <c r="X46" s="371">
        <f t="shared" si="2"/>
        <v>0.49360134219876733</v>
      </c>
      <c r="Z46" s="367">
        <f>Public_Comps!T42</f>
        <v>4.013147459236813</v>
      </c>
      <c r="AA46" s="371">
        <f t="shared" si="3"/>
        <v>4.013147459236813</v>
      </c>
    </row>
    <row r="47" spans="16:27" x14ac:dyDescent="0.2">
      <c r="P47" s="361" t="s">
        <v>257</v>
      </c>
      <c r="Q47" s="370">
        <f>Public_Comps!X9</f>
        <v>0.22872901557019754</v>
      </c>
      <c r="R47" s="370" t="e">
        <f t="shared" si="0"/>
        <v>#N/A</v>
      </c>
      <c r="T47" s="370">
        <f>Public_Comps!Y9</f>
        <v>0.28648528314501909</v>
      </c>
      <c r="U47" s="370" t="e">
        <f t="shared" si="1"/>
        <v>#N/A</v>
      </c>
      <c r="W47" s="371">
        <f>Public_Comps!Q28</f>
        <v>1.1641856728506541</v>
      </c>
      <c r="X47" s="371" t="e">
        <f t="shared" si="2"/>
        <v>#N/A</v>
      </c>
      <c r="Z47" s="367">
        <f>Public_Comps!T28</f>
        <v>5.2744813578417666</v>
      </c>
      <c r="AA47" s="371" t="e">
        <f t="shared" si="3"/>
        <v>#N/A</v>
      </c>
    </row>
    <row r="48" spans="16:27" x14ac:dyDescent="0.2">
      <c r="P48" s="361" t="s">
        <v>261</v>
      </c>
      <c r="Q48" s="370">
        <f>Public_Comps!X14</f>
        <v>0.21358171663380165</v>
      </c>
      <c r="R48" s="370" t="e">
        <f t="shared" si="0"/>
        <v>#N/A</v>
      </c>
      <c r="T48" s="370" t="str">
        <f>Public_Comps!Y14</f>
        <v>N/A</v>
      </c>
      <c r="U48" s="370" t="e">
        <f t="shared" si="1"/>
        <v>#N/A</v>
      </c>
      <c r="W48" s="371">
        <f>Public_Comps!Q33</f>
        <v>0.44281905624869305</v>
      </c>
      <c r="X48" s="371" t="e">
        <f t="shared" si="2"/>
        <v>#N/A</v>
      </c>
      <c r="Z48" s="367">
        <f>Public_Comps!T33</f>
        <v>2.4389951292079561</v>
      </c>
      <c r="AA48" s="371" t="e">
        <f t="shared" si="3"/>
        <v>#N/A</v>
      </c>
    </row>
    <row r="49" spans="2:27" x14ac:dyDescent="0.2">
      <c r="P49" s="361" t="s">
        <v>258</v>
      </c>
      <c r="Q49" s="370">
        <f>Public_Comps!X11</f>
        <v>0.19873317658385248</v>
      </c>
      <c r="R49" s="370" t="e">
        <f t="shared" si="0"/>
        <v>#N/A</v>
      </c>
      <c r="T49" s="370">
        <f>Public_Comps!Y11</f>
        <v>0.32795467346217344</v>
      </c>
      <c r="U49" s="370" t="e">
        <f t="shared" si="1"/>
        <v>#N/A</v>
      </c>
      <c r="W49" s="371">
        <f>Public_Comps!Q30</f>
        <v>0.26128807877265425</v>
      </c>
      <c r="X49" s="371" t="e">
        <f t="shared" si="2"/>
        <v>#N/A</v>
      </c>
      <c r="Z49" s="367">
        <f>Public_Comps!T30</f>
        <v>2.354134156197194</v>
      </c>
      <c r="AA49" s="371" t="e">
        <f t="shared" si="3"/>
        <v>#N/A</v>
      </c>
    </row>
    <row r="50" spans="2:27" x14ac:dyDescent="0.2">
      <c r="P50" s="361" t="s">
        <v>263</v>
      </c>
      <c r="Q50" s="370">
        <f>Public_Comps!X15</f>
        <v>0.15806679420294456</v>
      </c>
      <c r="R50" s="370" t="e">
        <f t="shared" si="0"/>
        <v>#N/A</v>
      </c>
      <c r="T50" s="370">
        <f>Public_Comps!Y15</f>
        <v>0.2483652676937782</v>
      </c>
      <c r="U50" s="370" t="e">
        <f t="shared" si="1"/>
        <v>#N/A</v>
      </c>
      <c r="W50" s="371">
        <f>Public_Comps!Q34</f>
        <v>2.8613646079214909</v>
      </c>
      <c r="X50" s="371" t="e">
        <f t="shared" si="2"/>
        <v>#N/A</v>
      </c>
      <c r="Z50" s="367">
        <f>Public_Comps!T34</f>
        <v>8.5050549693387101</v>
      </c>
      <c r="AA50" s="371" t="e">
        <f t="shared" si="3"/>
        <v>#N/A</v>
      </c>
    </row>
    <row r="51" spans="2:27" x14ac:dyDescent="0.2">
      <c r="P51" s="361" t="s">
        <v>262</v>
      </c>
      <c r="Q51" s="370">
        <f>Public_Comps!X12</f>
        <v>7.1996249786071553E-2</v>
      </c>
      <c r="R51" s="370" t="e">
        <f t="shared" si="0"/>
        <v>#N/A</v>
      </c>
      <c r="T51" s="370">
        <f>Public_Comps!Y12</f>
        <v>3.2590969546099302E-2</v>
      </c>
      <c r="U51" s="370" t="e">
        <f t="shared" si="1"/>
        <v>#N/A</v>
      </c>
      <c r="W51" s="371">
        <f>Public_Comps!Q31</f>
        <v>1.7083840894472284</v>
      </c>
      <c r="X51" s="371" t="e">
        <f t="shared" si="2"/>
        <v>#N/A</v>
      </c>
      <c r="Z51" s="367">
        <f>Public_Comps!T31</f>
        <v>5.6587695302225267</v>
      </c>
      <c r="AA51" s="371" t="e">
        <f t="shared" si="3"/>
        <v>#N/A</v>
      </c>
    </row>
    <row r="52" spans="2:27" x14ac:dyDescent="0.2">
      <c r="Q52" s="370"/>
      <c r="R52" s="370"/>
      <c r="T52" s="370"/>
      <c r="U52" s="370"/>
      <c r="W52" s="371"/>
      <c r="X52" s="371"/>
      <c r="Z52" s="367"/>
      <c r="AA52" s="371"/>
    </row>
    <row r="54" spans="2:27" x14ac:dyDescent="0.2">
      <c r="P54" s="372"/>
      <c r="Q54" s="374"/>
      <c r="R54" s="373"/>
      <c r="V54" s="372"/>
      <c r="W54" s="374"/>
      <c r="X54" s="373"/>
    </row>
    <row r="55" spans="2:27" x14ac:dyDescent="0.2">
      <c r="P55" s="372"/>
      <c r="Q55" s="374"/>
      <c r="R55" s="373"/>
      <c r="V55" s="372"/>
      <c r="W55" s="374"/>
      <c r="X55" s="373"/>
    </row>
    <row r="56" spans="2:27" x14ac:dyDescent="0.2">
      <c r="P56" s="372"/>
      <c r="Q56" s="374"/>
      <c r="R56" s="373"/>
      <c r="V56" s="372"/>
      <c r="W56" s="374"/>
      <c r="X56" s="373"/>
    </row>
    <row r="57" spans="2:27" x14ac:dyDescent="0.2">
      <c r="P57" s="372"/>
      <c r="Q57" s="374"/>
      <c r="R57" s="373"/>
      <c r="V57" s="372"/>
      <c r="W57" s="374"/>
      <c r="X57" s="373"/>
    </row>
    <row r="58" spans="2:27" x14ac:dyDescent="0.2">
      <c r="P58" s="372"/>
      <c r="Q58" s="374"/>
      <c r="R58" s="373"/>
      <c r="V58" s="372"/>
      <c r="W58" s="374"/>
      <c r="X58" s="373"/>
    </row>
    <row r="59" spans="2:27" x14ac:dyDescent="0.2">
      <c r="P59" s="372"/>
      <c r="Q59" s="374"/>
      <c r="R59" s="373"/>
      <c r="V59" s="372"/>
      <c r="W59" s="374"/>
      <c r="X59" s="373"/>
    </row>
    <row r="60" spans="2:27" x14ac:dyDescent="0.2">
      <c r="P60" s="372"/>
      <c r="Q60" s="374"/>
      <c r="R60" s="373"/>
      <c r="V60" s="372"/>
      <c r="W60" s="374"/>
      <c r="X60" s="373"/>
    </row>
    <row r="61" spans="2:27" x14ac:dyDescent="0.2">
      <c r="P61" s="372"/>
      <c r="Q61" s="374"/>
      <c r="R61" s="373"/>
      <c r="V61" s="372"/>
      <c r="W61" s="374"/>
      <c r="X61" s="373"/>
    </row>
    <row r="62" spans="2:27" x14ac:dyDescent="0.2">
      <c r="P62" s="372"/>
      <c r="Q62" s="374"/>
      <c r="R62" s="373"/>
      <c r="V62" s="372"/>
      <c r="W62" s="374"/>
      <c r="X62" s="373"/>
    </row>
    <row r="63" spans="2:27" x14ac:dyDescent="0.2">
      <c r="B63" s="376"/>
      <c r="P63" s="372"/>
      <c r="Q63" s="374"/>
      <c r="R63" s="373"/>
      <c r="V63" s="372"/>
      <c r="W63" s="374"/>
      <c r="X63" s="373"/>
    </row>
    <row r="64" spans="2:27" x14ac:dyDescent="0.2">
      <c r="B64" s="376"/>
      <c r="P64" s="372"/>
      <c r="Q64" s="374"/>
      <c r="R64" s="373"/>
      <c r="V64" s="372"/>
      <c r="W64" s="374"/>
      <c r="X64" s="373"/>
    </row>
    <row r="65" spans="2:24" x14ac:dyDescent="0.2">
      <c r="B65" s="376"/>
      <c r="P65" s="372"/>
      <c r="Q65" s="374"/>
      <c r="R65" s="373"/>
      <c r="V65" s="372"/>
      <c r="W65" s="374"/>
      <c r="X65" s="373"/>
    </row>
    <row r="66" spans="2:24" x14ac:dyDescent="0.2">
      <c r="B66" s="376"/>
      <c r="P66" s="372"/>
      <c r="Q66" s="374"/>
      <c r="R66" s="373"/>
      <c r="V66" s="372"/>
      <c r="W66" s="374"/>
      <c r="X66" s="373"/>
    </row>
    <row r="67" spans="2:24" x14ac:dyDescent="0.2">
      <c r="B67" s="376"/>
      <c r="P67" s="372"/>
      <c r="Q67" s="374"/>
      <c r="R67" s="373"/>
      <c r="V67" s="372"/>
      <c r="W67" s="374"/>
      <c r="X67" s="373"/>
    </row>
    <row r="68" spans="2:24" x14ac:dyDescent="0.2">
      <c r="P68" s="372"/>
      <c r="Q68" s="374"/>
      <c r="R68" s="373"/>
      <c r="V68" s="372"/>
      <c r="W68" s="374"/>
      <c r="X68" s="373"/>
    </row>
    <row r="69" spans="2:24" x14ac:dyDescent="0.2">
      <c r="B69" s="375"/>
      <c r="P69" s="372"/>
      <c r="Q69" s="374"/>
      <c r="R69" s="373"/>
      <c r="V69" s="372"/>
      <c r="W69" s="374"/>
      <c r="X69" s="373"/>
    </row>
    <row r="70" spans="2:24" x14ac:dyDescent="0.2">
      <c r="P70" s="372"/>
      <c r="Q70" s="374"/>
      <c r="R70" s="373"/>
      <c r="V70" s="372"/>
      <c r="W70" s="374"/>
      <c r="X70" s="373"/>
    </row>
    <row r="71" spans="2:24" x14ac:dyDescent="0.2">
      <c r="P71" s="372"/>
      <c r="Q71" s="374"/>
      <c r="R71" s="373"/>
      <c r="V71" s="372"/>
      <c r="W71" s="374"/>
      <c r="X71" s="373"/>
    </row>
    <row r="72" spans="2:24" x14ac:dyDescent="0.2">
      <c r="P72" s="372"/>
      <c r="Q72" s="374"/>
      <c r="R72" s="373"/>
      <c r="V72" s="372"/>
      <c r="W72" s="374"/>
      <c r="X72" s="373"/>
    </row>
    <row r="73" spans="2:24" x14ac:dyDescent="0.2">
      <c r="P73" s="372"/>
      <c r="Q73" s="374"/>
      <c r="R73" s="373"/>
      <c r="V73" s="372"/>
      <c r="W73" s="374"/>
      <c r="X73" s="373"/>
    </row>
    <row r="74" spans="2:24" x14ac:dyDescent="0.2">
      <c r="P74" s="372"/>
      <c r="Q74" s="374"/>
      <c r="R74" s="373"/>
      <c r="V74" s="372"/>
      <c r="W74" s="374"/>
      <c r="X74" s="373"/>
    </row>
    <row r="75" spans="2:24" x14ac:dyDescent="0.2">
      <c r="P75" s="372"/>
      <c r="Q75" s="374"/>
      <c r="R75" s="373"/>
      <c r="V75" s="372"/>
      <c r="W75" s="374"/>
      <c r="X75" s="373"/>
    </row>
    <row r="76" spans="2:24" x14ac:dyDescent="0.2">
      <c r="P76" s="372"/>
      <c r="Q76" s="374"/>
      <c r="R76" s="373"/>
      <c r="V76" s="372"/>
      <c r="W76" s="374"/>
      <c r="X76" s="373"/>
    </row>
    <row r="77" spans="2:24" x14ac:dyDescent="0.2">
      <c r="P77" s="372"/>
      <c r="Q77" s="374"/>
      <c r="R77" s="373"/>
      <c r="V77" s="372"/>
      <c r="W77" s="374"/>
      <c r="X77" s="373"/>
    </row>
    <row r="78" spans="2:24" x14ac:dyDescent="0.2">
      <c r="P78" s="372"/>
      <c r="Q78" s="374"/>
      <c r="R78" s="373"/>
      <c r="V78" s="372"/>
      <c r="W78" s="374"/>
      <c r="X78" s="373"/>
    </row>
    <row r="79" spans="2:24" x14ac:dyDescent="0.2">
      <c r="P79" s="372"/>
      <c r="Q79" s="374"/>
      <c r="R79" s="373"/>
      <c r="V79" s="372"/>
      <c r="W79" s="374"/>
      <c r="X79" s="373"/>
    </row>
    <row r="80" spans="2:24" x14ac:dyDescent="0.2">
      <c r="P80" s="372"/>
      <c r="Q80" s="374"/>
      <c r="R80" s="373"/>
      <c r="V80" s="372"/>
      <c r="W80" s="374"/>
      <c r="X80" s="373"/>
    </row>
    <row r="81" spans="2:24" x14ac:dyDescent="0.2">
      <c r="P81" s="372"/>
      <c r="Q81" s="374"/>
      <c r="R81" s="373"/>
      <c r="V81" s="372"/>
      <c r="W81" s="374"/>
      <c r="X81" s="373"/>
    </row>
    <row r="82" spans="2:24" x14ac:dyDescent="0.2">
      <c r="B82" s="377">
        <f>DCF!E43</f>
        <v>43738</v>
      </c>
      <c r="C82" s="377">
        <f>DCF!F43</f>
        <v>44104</v>
      </c>
      <c r="D82" s="377">
        <f>DCF!G43</f>
        <v>44469</v>
      </c>
      <c r="E82" s="377">
        <f>DCF!H43</f>
        <v>44834</v>
      </c>
      <c r="F82" s="377">
        <f>DCF!I43</f>
        <v>45199</v>
      </c>
      <c r="G82" s="377">
        <f>DCF!J43</f>
        <v>45565</v>
      </c>
      <c r="H82" s="377">
        <f>DCF!K43</f>
        <v>45930</v>
      </c>
      <c r="I82" s="377">
        <f>DCF!L43</f>
        <v>46295</v>
      </c>
      <c r="J82" s="377">
        <f>DCF!M43</f>
        <v>46660</v>
      </c>
      <c r="K82" s="377">
        <f>DCF!N43</f>
        <v>47026</v>
      </c>
      <c r="L82" s="377">
        <f>DCF!O43</f>
        <v>47391</v>
      </c>
      <c r="M82" s="377">
        <f>DCF!P43</f>
        <v>47756</v>
      </c>
      <c r="N82" s="377">
        <f>DCF!Q43</f>
        <v>48121</v>
      </c>
      <c r="O82" s="385"/>
      <c r="P82" s="372"/>
      <c r="Q82" s="374"/>
      <c r="R82" s="373"/>
      <c r="V82" s="372"/>
      <c r="W82" s="374"/>
      <c r="X82" s="373"/>
    </row>
    <row r="83" spans="2:24" x14ac:dyDescent="0.2">
      <c r="B83" s="386">
        <v>116056</v>
      </c>
      <c r="C83" s="386">
        <v>62830</v>
      </c>
      <c r="D83" s="386">
        <v>33348</v>
      </c>
      <c r="E83" s="386">
        <v>82281</v>
      </c>
      <c r="F83" s="386">
        <v>115193.4</v>
      </c>
      <c r="G83" s="386">
        <v>134872.49999999997</v>
      </c>
      <c r="H83" s="386">
        <v>155103.37499999994</v>
      </c>
      <c r="I83" s="386">
        <v>174491.29687499994</v>
      </c>
      <c r="J83" s="386">
        <v>191940.42656249995</v>
      </c>
      <c r="K83" s="386">
        <v>211134.46921874996</v>
      </c>
      <c r="L83" s="386">
        <v>226969.55441015621</v>
      </c>
      <c r="M83" s="386">
        <v>238318.03213066404</v>
      </c>
      <c r="N83" s="386">
        <v>250233.93373719725</v>
      </c>
      <c r="P83" s="372"/>
      <c r="Q83" s="374"/>
      <c r="R83" s="373"/>
      <c r="V83" s="372"/>
      <c r="W83" s="374"/>
      <c r="X83" s="373"/>
    </row>
    <row r="84" spans="2:24" x14ac:dyDescent="0.2">
      <c r="B84" s="386">
        <v>116056</v>
      </c>
      <c r="C84" s="386">
        <v>62830</v>
      </c>
      <c r="D84" s="386">
        <v>33348</v>
      </c>
      <c r="E84" s="386">
        <v>69651</v>
      </c>
      <c r="F84" s="386">
        <v>92260.650000000009</v>
      </c>
      <c r="G84" s="386">
        <v>115325.81250000001</v>
      </c>
      <c r="H84" s="386">
        <v>135507.82968750002</v>
      </c>
      <c r="I84" s="386">
        <v>152446.30839843751</v>
      </c>
      <c r="J84" s="386">
        <v>167690.93923828128</v>
      </c>
      <c r="K84" s="386">
        <v>184460.03316210944</v>
      </c>
      <c r="L84" s="386">
        <v>198294.53564926764</v>
      </c>
      <c r="M84" s="386">
        <v>213166.6258229627</v>
      </c>
      <c r="N84" s="386">
        <v>223824.95711411085</v>
      </c>
      <c r="P84" s="372"/>
      <c r="Q84" s="374"/>
      <c r="R84" s="373"/>
      <c r="V84" s="372"/>
      <c r="W84" s="374"/>
      <c r="X84" s="373"/>
    </row>
    <row r="85" spans="2:24" x14ac:dyDescent="0.2">
      <c r="B85" s="386">
        <v>116056</v>
      </c>
      <c r="C85" s="386">
        <v>62830</v>
      </c>
      <c r="D85" s="386">
        <v>33348</v>
      </c>
      <c r="E85" s="386">
        <v>67125</v>
      </c>
      <c r="F85" s="386">
        <v>85620.6</v>
      </c>
      <c r="G85" s="386">
        <v>100692.34499999999</v>
      </c>
      <c r="H85" s="386">
        <v>113278.88812499998</v>
      </c>
      <c r="I85" s="386">
        <v>124606.77693749999</v>
      </c>
      <c r="J85" s="386">
        <v>137067.45463125</v>
      </c>
      <c r="K85" s="386">
        <v>150774.200094375</v>
      </c>
      <c r="L85" s="386">
        <v>165851.62010381251</v>
      </c>
      <c r="M85" s="386">
        <v>182436.78211419377</v>
      </c>
      <c r="N85" s="386">
        <v>196119.54077275831</v>
      </c>
      <c r="P85" s="372"/>
      <c r="Q85" s="374"/>
      <c r="R85" s="373"/>
      <c r="V85" s="372"/>
      <c r="W85" s="374"/>
      <c r="X85" s="373"/>
    </row>
    <row r="86" spans="2:24" x14ac:dyDescent="0.2">
      <c r="B86" s="378"/>
      <c r="C86" s="378"/>
      <c r="D86" s="378"/>
      <c r="E86" s="378"/>
      <c r="F86" s="378"/>
      <c r="G86" s="378"/>
      <c r="H86" s="378"/>
      <c r="I86" s="378"/>
      <c r="J86" s="378"/>
      <c r="K86" s="378"/>
      <c r="L86" s="378"/>
      <c r="P86" s="372"/>
      <c r="Q86" s="374"/>
      <c r="R86" s="373"/>
      <c r="V86" s="372"/>
      <c r="W86" s="374"/>
      <c r="X86" s="373"/>
    </row>
    <row r="87" spans="2:24" x14ac:dyDescent="0.2">
      <c r="B87" s="378"/>
      <c r="C87" s="378"/>
      <c r="D87" s="378"/>
      <c r="E87" s="378"/>
      <c r="F87" s="378"/>
      <c r="G87" s="378"/>
      <c r="H87" s="378"/>
      <c r="I87" s="378"/>
      <c r="J87" s="378"/>
      <c r="K87" s="378"/>
      <c r="L87" s="378"/>
      <c r="P87" s="372"/>
      <c r="Q87" s="374"/>
      <c r="R87" s="373"/>
      <c r="V87" s="372"/>
      <c r="W87" s="374"/>
      <c r="X87" s="373"/>
    </row>
    <row r="88" spans="2:24" x14ac:dyDescent="0.2">
      <c r="P88" s="372"/>
      <c r="Q88" s="374"/>
      <c r="R88" s="373"/>
      <c r="V88" s="372"/>
      <c r="W88" s="374"/>
      <c r="X88" s="373"/>
    </row>
    <row r="89" spans="2:24" x14ac:dyDescent="0.2">
      <c r="P89" s="372"/>
      <c r="Q89" s="374"/>
      <c r="R89" s="373"/>
      <c r="V89" s="372"/>
      <c r="W89" s="374"/>
      <c r="X89" s="373"/>
    </row>
    <row r="90" spans="2:24" x14ac:dyDescent="0.2">
      <c r="P90" s="372"/>
      <c r="Q90" s="374"/>
      <c r="R90" s="373"/>
      <c r="V90" s="372"/>
      <c r="W90" s="374"/>
      <c r="X90" s="373"/>
    </row>
    <row r="91" spans="2:24" x14ac:dyDescent="0.2">
      <c r="P91" s="372"/>
      <c r="Q91" s="374"/>
      <c r="R91" s="373"/>
      <c r="V91" s="372"/>
      <c r="W91" s="374"/>
      <c r="X91" s="373"/>
    </row>
    <row r="92" spans="2:24" x14ac:dyDescent="0.2">
      <c r="P92" s="372"/>
      <c r="Q92" s="374"/>
      <c r="R92" s="373"/>
      <c r="V92" s="372"/>
      <c r="W92" s="374"/>
      <c r="X92" s="373"/>
    </row>
    <row r="93" spans="2:24" x14ac:dyDescent="0.2">
      <c r="P93" s="372"/>
      <c r="Q93" s="374"/>
      <c r="R93" s="373"/>
      <c r="V93" s="372"/>
      <c r="W93" s="374"/>
      <c r="X93" s="373"/>
    </row>
    <row r="94" spans="2:24" x14ac:dyDescent="0.2">
      <c r="P94" s="372"/>
      <c r="Q94" s="374"/>
      <c r="R94" s="373"/>
      <c r="V94" s="372"/>
      <c r="W94" s="374"/>
      <c r="X94" s="373"/>
    </row>
    <row r="95" spans="2:24" x14ac:dyDescent="0.2">
      <c r="P95" s="372"/>
      <c r="Q95" s="374"/>
      <c r="R95" s="373"/>
      <c r="V95" s="372"/>
      <c r="W95" s="374"/>
      <c r="X95" s="373"/>
    </row>
    <row r="96" spans="2:24" x14ac:dyDescent="0.2">
      <c r="P96" s="372"/>
      <c r="Q96" s="374"/>
      <c r="R96" s="373"/>
      <c r="V96" s="372"/>
      <c r="W96" s="374"/>
      <c r="X96" s="373"/>
    </row>
    <row r="97" spans="16:24" x14ac:dyDescent="0.2">
      <c r="P97" s="372"/>
      <c r="Q97" s="374"/>
      <c r="R97" s="373"/>
      <c r="V97" s="372"/>
      <c r="W97" s="374"/>
      <c r="X97" s="373"/>
    </row>
    <row r="98" spans="16:24" x14ac:dyDescent="0.2">
      <c r="P98" s="372"/>
      <c r="Q98" s="374"/>
      <c r="R98" s="373"/>
      <c r="V98" s="372"/>
      <c r="W98" s="374"/>
      <c r="X98" s="373"/>
    </row>
    <row r="99" spans="16:24" x14ac:dyDescent="0.2">
      <c r="P99" s="372"/>
      <c r="Q99" s="374"/>
      <c r="R99" s="373"/>
      <c r="V99" s="372"/>
      <c r="W99" s="374"/>
      <c r="X99" s="373"/>
    </row>
    <row r="100" spans="16:24" x14ac:dyDescent="0.2">
      <c r="P100" s="372"/>
      <c r="Q100" s="374"/>
      <c r="R100" s="373"/>
      <c r="V100" s="372"/>
      <c r="W100" s="374"/>
      <c r="X100" s="373"/>
    </row>
    <row r="101" spans="16:24" x14ac:dyDescent="0.2">
      <c r="P101" s="372"/>
      <c r="Q101" s="374"/>
      <c r="R101" s="373"/>
      <c r="V101" s="372"/>
      <c r="W101" s="374"/>
      <c r="X101" s="373"/>
    </row>
    <row r="102" spans="16:24" x14ac:dyDescent="0.2">
      <c r="P102" s="372"/>
      <c r="Q102" s="374"/>
      <c r="R102" s="373"/>
      <c r="V102" s="372"/>
      <c r="W102" s="374"/>
      <c r="X102" s="373"/>
    </row>
    <row r="103" spans="16:24" x14ac:dyDescent="0.2">
      <c r="P103" s="372"/>
      <c r="Q103" s="374"/>
      <c r="R103" s="373"/>
      <c r="V103" s="372"/>
      <c r="W103" s="374"/>
      <c r="X103" s="373"/>
    </row>
    <row r="104" spans="16:24" x14ac:dyDescent="0.2">
      <c r="P104" s="372"/>
      <c r="Q104" s="374"/>
      <c r="R104" s="373"/>
      <c r="V104" s="372"/>
      <c r="W104" s="374"/>
      <c r="X104" s="373"/>
    </row>
    <row r="105" spans="16:24" x14ac:dyDescent="0.2">
      <c r="P105" s="372"/>
      <c r="Q105" s="374"/>
      <c r="R105" s="373"/>
      <c r="V105" s="372"/>
      <c r="W105" s="374"/>
      <c r="X105" s="373"/>
    </row>
    <row r="106" spans="16:24" x14ac:dyDescent="0.2">
      <c r="P106" s="372"/>
      <c r="Q106" s="374"/>
      <c r="R106" s="373"/>
      <c r="V106" s="372"/>
      <c r="W106" s="374"/>
      <c r="X106" s="373"/>
    </row>
    <row r="107" spans="16:24" x14ac:dyDescent="0.2">
      <c r="P107" s="372"/>
      <c r="Q107" s="374"/>
      <c r="R107" s="373"/>
      <c r="V107" s="372"/>
      <c r="W107" s="374"/>
      <c r="X107" s="373"/>
    </row>
    <row r="108" spans="16:24" x14ac:dyDescent="0.2">
      <c r="P108" s="372"/>
      <c r="Q108" s="374"/>
      <c r="R108" s="373"/>
      <c r="V108" s="372"/>
      <c r="W108" s="374"/>
      <c r="X108" s="373"/>
    </row>
    <row r="109" spans="16:24" x14ac:dyDescent="0.2">
      <c r="P109" s="372"/>
      <c r="Q109" s="374"/>
      <c r="R109" s="373"/>
      <c r="V109" s="372"/>
      <c r="W109" s="374"/>
      <c r="X109" s="373"/>
    </row>
    <row r="110" spans="16:24" x14ac:dyDescent="0.2">
      <c r="P110" s="372"/>
      <c r="Q110" s="374"/>
      <c r="R110" s="373"/>
      <c r="V110" s="372"/>
      <c r="W110" s="374"/>
      <c r="X110" s="373"/>
    </row>
    <row r="111" spans="16:24" x14ac:dyDescent="0.2">
      <c r="P111" s="372"/>
      <c r="Q111" s="374"/>
      <c r="R111" s="373"/>
      <c r="V111" s="372"/>
      <c r="W111" s="374"/>
      <c r="X111" s="373"/>
    </row>
    <row r="112" spans="16:24" x14ac:dyDescent="0.2">
      <c r="P112" s="372"/>
      <c r="Q112" s="374"/>
      <c r="R112" s="373"/>
      <c r="V112" s="372"/>
      <c r="W112" s="374"/>
      <c r="X112" s="373"/>
    </row>
    <row r="113" spans="2:24" x14ac:dyDescent="0.2">
      <c r="P113" s="372"/>
      <c r="Q113" s="374"/>
      <c r="R113" s="373"/>
      <c r="V113" s="372"/>
      <c r="W113" s="374"/>
      <c r="X113" s="373"/>
    </row>
    <row r="114" spans="2:24" x14ac:dyDescent="0.2">
      <c r="P114" s="372"/>
      <c r="Q114" s="374"/>
      <c r="R114" s="373"/>
      <c r="V114" s="372"/>
      <c r="W114" s="374"/>
      <c r="X114" s="373"/>
    </row>
    <row r="115" spans="2:24" x14ac:dyDescent="0.2">
      <c r="P115" s="372"/>
      <c r="Q115" s="374"/>
      <c r="R115" s="373"/>
      <c r="V115" s="372"/>
      <c r="W115" s="374"/>
      <c r="X115" s="373"/>
    </row>
    <row r="116" spans="2:24" x14ac:dyDescent="0.2">
      <c r="P116" s="372"/>
      <c r="Q116" s="374"/>
      <c r="R116" s="373"/>
      <c r="V116" s="372"/>
      <c r="W116" s="374"/>
      <c r="X116" s="373"/>
    </row>
    <row r="117" spans="2:24" x14ac:dyDescent="0.2">
      <c r="B117" s="377">
        <f>DCF!E43</f>
        <v>43738</v>
      </c>
      <c r="C117" s="377">
        <f>DCF!F43</f>
        <v>44104</v>
      </c>
      <c r="D117" s="377">
        <f>DCF!G43</f>
        <v>44469</v>
      </c>
      <c r="E117" s="377">
        <f>DCF!H43</f>
        <v>44834</v>
      </c>
      <c r="F117" s="377">
        <f>DCF!I43</f>
        <v>45199</v>
      </c>
      <c r="G117" s="377">
        <f>DCF!J43</f>
        <v>45565</v>
      </c>
      <c r="H117" s="377">
        <f>DCF!K43</f>
        <v>45930</v>
      </c>
      <c r="I117" s="377">
        <f>DCF!L43</f>
        <v>46295</v>
      </c>
      <c r="J117" s="377">
        <f>DCF!M43</f>
        <v>46660</v>
      </c>
      <c r="K117" s="377">
        <f>DCF!N43</f>
        <v>47026</v>
      </c>
      <c r="L117" s="377">
        <f>DCF!O43</f>
        <v>47391</v>
      </c>
      <c r="M117" s="377">
        <f>DCF!P43</f>
        <v>47756</v>
      </c>
      <c r="N117" s="377">
        <f>DCF!Q43</f>
        <v>48121</v>
      </c>
      <c r="P117" s="372"/>
      <c r="Q117" s="374"/>
      <c r="R117" s="373"/>
      <c r="V117" s="372"/>
      <c r="W117" s="374"/>
      <c r="X117" s="373"/>
    </row>
    <row r="118" spans="2:24" x14ac:dyDescent="0.2">
      <c r="B118" s="387">
        <v>970</v>
      </c>
      <c r="C118" s="387">
        <v>-358</v>
      </c>
      <c r="D118" s="387">
        <v>-425</v>
      </c>
      <c r="E118" s="387">
        <v>222.94449999999983</v>
      </c>
      <c r="F118" s="387">
        <v>701.42618699999912</v>
      </c>
      <c r="G118" s="387">
        <v>978.69196319999924</v>
      </c>
      <c r="H118" s="387">
        <v>1169.091689062501</v>
      </c>
      <c r="I118" s="387">
        <v>1435.1909167968738</v>
      </c>
      <c r="J118" s="387">
        <v>1689.2556978999023</v>
      </c>
      <c r="K118" s="387">
        <v>1947.1876423699209</v>
      </c>
      <c r="L118" s="387">
        <v>2079.6085422830593</v>
      </c>
      <c r="M118" s="387">
        <v>2171.0772727103526</v>
      </c>
      <c r="N118" s="387">
        <v>2316.5406415721054</v>
      </c>
      <c r="P118" s="372"/>
      <c r="Q118" s="374"/>
      <c r="R118" s="373"/>
      <c r="V118" s="372"/>
      <c r="W118" s="374"/>
      <c r="X118" s="373"/>
    </row>
    <row r="119" spans="2:24" x14ac:dyDescent="0.2">
      <c r="B119" s="289">
        <v>970</v>
      </c>
      <c r="C119" s="289">
        <v>-358</v>
      </c>
      <c r="D119" s="289">
        <v>-425</v>
      </c>
      <c r="E119" s="289">
        <v>99.044200000000046</v>
      </c>
      <c r="F119" s="289">
        <v>335.55186449999974</v>
      </c>
      <c r="G119" s="289">
        <v>542.39064374999953</v>
      </c>
      <c r="H119" s="289">
        <v>777.81494240625125</v>
      </c>
      <c r="I119" s="289">
        <v>932.97140739843735</v>
      </c>
      <c r="J119" s="289">
        <v>1140.4555970758493</v>
      </c>
      <c r="K119" s="289">
        <v>1276.9245795647043</v>
      </c>
      <c r="L119" s="289">
        <v>1420.2846115878801</v>
      </c>
      <c r="M119" s="289">
        <v>1558.2480347658588</v>
      </c>
      <c r="N119" s="289">
        <v>1669.1746176784841</v>
      </c>
      <c r="P119" s="372"/>
      <c r="Q119" s="374"/>
      <c r="R119" s="373"/>
      <c r="V119" s="372"/>
      <c r="W119" s="374"/>
      <c r="X119" s="373"/>
    </row>
    <row r="120" spans="2:24" x14ac:dyDescent="0.2">
      <c r="B120" s="289">
        <v>970</v>
      </c>
      <c r="C120" s="289">
        <v>-358</v>
      </c>
      <c r="D120" s="289">
        <v>-425</v>
      </c>
      <c r="E120" s="289">
        <v>66.332500000000209</v>
      </c>
      <c r="F120" s="289">
        <v>213.49410224999974</v>
      </c>
      <c r="G120" s="289">
        <v>228.41440244999922</v>
      </c>
      <c r="H120" s="289">
        <v>402.14005284375139</v>
      </c>
      <c r="I120" s="289">
        <v>561.97656398812501</v>
      </c>
      <c r="J120" s="289">
        <v>795.11973759996545</v>
      </c>
      <c r="K120" s="289">
        <v>892.96020005893797</v>
      </c>
      <c r="L120" s="289">
        <v>1022.0606088897448</v>
      </c>
      <c r="M120" s="289">
        <v>1151.176095140564</v>
      </c>
      <c r="N120" s="289">
        <v>1266.4419345400879</v>
      </c>
      <c r="P120" s="372"/>
      <c r="Q120" s="374"/>
      <c r="R120" s="373"/>
      <c r="V120" s="372"/>
      <c r="W120" s="374"/>
      <c r="X120" s="373"/>
    </row>
    <row r="121" spans="2:24" x14ac:dyDescent="0.2">
      <c r="P121" s="372"/>
      <c r="Q121" s="374"/>
      <c r="R121" s="373"/>
      <c r="V121" s="372"/>
      <c r="W121" s="374"/>
      <c r="X121" s="373"/>
    </row>
    <row r="122" spans="2:24" x14ac:dyDescent="0.2">
      <c r="P122" s="372"/>
      <c r="Q122" s="374"/>
      <c r="R122" s="373"/>
      <c r="V122" s="372"/>
      <c r="W122" s="374"/>
      <c r="X122" s="373"/>
    </row>
    <row r="123" spans="2:24" x14ac:dyDescent="0.2">
      <c r="P123" s="372"/>
      <c r="Q123" s="374"/>
      <c r="R123" s="373"/>
      <c r="V123" s="372"/>
      <c r="W123" s="374"/>
      <c r="X123" s="373"/>
    </row>
    <row r="124" spans="2:24" x14ac:dyDescent="0.2">
      <c r="P124" s="372"/>
      <c r="Q124" s="374"/>
      <c r="R124" s="373"/>
      <c r="V124" s="372"/>
      <c r="W124" s="374"/>
      <c r="X124" s="373"/>
    </row>
    <row r="125" spans="2:24" x14ac:dyDescent="0.2">
      <c r="P125" s="372"/>
      <c r="Q125" s="374"/>
      <c r="R125" s="373"/>
      <c r="V125" s="372"/>
      <c r="W125" s="374"/>
      <c r="X125" s="373"/>
    </row>
    <row r="126" spans="2:24" x14ac:dyDescent="0.2">
      <c r="P126" s="372"/>
      <c r="Q126" s="374"/>
      <c r="R126" s="373"/>
      <c r="V126" s="372"/>
      <c r="W126" s="374"/>
      <c r="X126" s="373"/>
    </row>
    <row r="127" spans="2:24" x14ac:dyDescent="0.2">
      <c r="P127" s="372"/>
      <c r="Q127" s="374"/>
      <c r="R127" s="373"/>
      <c r="V127" s="372"/>
      <c r="W127" s="374"/>
      <c r="X127" s="373"/>
    </row>
    <row r="128" spans="2:24" x14ac:dyDescent="0.2">
      <c r="P128" s="372"/>
      <c r="Q128" s="374"/>
      <c r="R128" s="373"/>
      <c r="V128" s="372"/>
      <c r="W128" s="374"/>
      <c r="X128" s="373"/>
    </row>
    <row r="129" spans="16:24" x14ac:dyDescent="0.2">
      <c r="P129" s="372"/>
      <c r="Q129" s="374"/>
      <c r="R129" s="373"/>
      <c r="V129" s="372"/>
      <c r="W129" s="374"/>
      <c r="X129" s="373"/>
    </row>
    <row r="130" spans="16:24" x14ac:dyDescent="0.2">
      <c r="P130" s="372"/>
      <c r="Q130" s="374"/>
      <c r="R130" s="373"/>
      <c r="V130" s="372"/>
      <c r="W130" s="374"/>
      <c r="X130" s="373"/>
    </row>
    <row r="131" spans="16:24" x14ac:dyDescent="0.2">
      <c r="P131" s="372"/>
      <c r="Q131" s="374"/>
      <c r="R131" s="373"/>
      <c r="V131" s="372"/>
      <c r="W131" s="374"/>
      <c r="X131" s="373"/>
    </row>
    <row r="132" spans="16:24" x14ac:dyDescent="0.2">
      <c r="P132" s="372"/>
      <c r="Q132" s="374"/>
      <c r="R132" s="373"/>
      <c r="V132" s="372"/>
      <c r="W132" s="374"/>
      <c r="X132" s="373"/>
    </row>
    <row r="133" spans="16:24" x14ac:dyDescent="0.2">
      <c r="P133" s="372"/>
      <c r="Q133" s="374"/>
      <c r="R133" s="373"/>
      <c r="V133" s="372"/>
      <c r="W133" s="374"/>
      <c r="X133" s="373"/>
    </row>
    <row r="134" spans="16:24" x14ac:dyDescent="0.2">
      <c r="P134" s="372"/>
      <c r="Q134" s="374"/>
      <c r="R134" s="373"/>
      <c r="V134" s="372"/>
      <c r="W134" s="374"/>
      <c r="X134" s="373"/>
    </row>
    <row r="135" spans="16:24" x14ac:dyDescent="0.2">
      <c r="P135" s="372"/>
      <c r="Q135" s="374"/>
      <c r="R135" s="373"/>
      <c r="V135" s="372"/>
      <c r="W135" s="374"/>
      <c r="X135" s="373"/>
    </row>
    <row r="136" spans="16:24" x14ac:dyDescent="0.2">
      <c r="P136" s="372"/>
      <c r="Q136" s="374"/>
      <c r="R136" s="373"/>
      <c r="V136" s="372"/>
      <c r="W136" s="374"/>
      <c r="X136" s="373"/>
    </row>
    <row r="137" spans="16:24" x14ac:dyDescent="0.2">
      <c r="P137" s="372"/>
      <c r="Q137" s="374"/>
      <c r="R137" s="373"/>
      <c r="V137" s="372"/>
      <c r="W137" s="374"/>
      <c r="X137" s="373"/>
    </row>
    <row r="138" spans="16:24" x14ac:dyDescent="0.2">
      <c r="P138" s="372"/>
      <c r="Q138" s="374"/>
      <c r="R138" s="373"/>
      <c r="V138" s="372"/>
      <c r="W138" s="374"/>
      <c r="X138" s="373"/>
    </row>
    <row r="139" spans="16:24" x14ac:dyDescent="0.2">
      <c r="P139" s="372"/>
      <c r="Q139" s="374"/>
      <c r="R139" s="373"/>
      <c r="V139" s="372"/>
      <c r="W139" s="374"/>
      <c r="X139" s="373"/>
    </row>
    <row r="140" spans="16:24" x14ac:dyDescent="0.2">
      <c r="P140" s="372"/>
      <c r="Q140" s="374"/>
      <c r="R140" s="373"/>
      <c r="V140" s="372"/>
      <c r="W140" s="374"/>
      <c r="X140" s="373"/>
    </row>
    <row r="141" spans="16:24" x14ac:dyDescent="0.2">
      <c r="P141" s="372"/>
      <c r="Q141" s="374"/>
      <c r="R141" s="373"/>
      <c r="V141" s="372"/>
      <c r="W141" s="374"/>
      <c r="X141" s="373"/>
    </row>
    <row r="142" spans="16:24" x14ac:dyDescent="0.2">
      <c r="P142" s="372"/>
      <c r="Q142" s="374"/>
      <c r="R142" s="373"/>
      <c r="V142" s="372"/>
      <c r="W142" s="374"/>
      <c r="X142" s="373"/>
    </row>
    <row r="143" spans="16:24" x14ac:dyDescent="0.2">
      <c r="P143" s="372"/>
      <c r="Q143" s="374"/>
      <c r="R143" s="373"/>
      <c r="V143" s="372"/>
      <c r="W143" s="374"/>
      <c r="X143" s="373"/>
    </row>
    <row r="144" spans="16:24" x14ac:dyDescent="0.2">
      <c r="P144" s="372"/>
      <c r="Q144" s="374"/>
      <c r="R144" s="373"/>
      <c r="V144" s="372"/>
      <c r="W144" s="374"/>
      <c r="X144" s="373"/>
    </row>
    <row r="145" spans="16:24" x14ac:dyDescent="0.2">
      <c r="P145" s="372"/>
      <c r="Q145" s="374"/>
      <c r="R145" s="373"/>
      <c r="V145" s="372"/>
      <c r="W145" s="374"/>
      <c r="X145" s="373"/>
    </row>
    <row r="146" spans="16:24" x14ac:dyDescent="0.2">
      <c r="P146" s="372"/>
      <c r="Q146" s="374"/>
      <c r="R146" s="373"/>
      <c r="V146" s="372"/>
      <c r="W146" s="374"/>
      <c r="X146" s="373"/>
    </row>
    <row r="147" spans="16:24" x14ac:dyDescent="0.2">
      <c r="P147" s="372"/>
      <c r="Q147" s="374"/>
      <c r="R147" s="373"/>
      <c r="V147" s="372"/>
      <c r="W147" s="374"/>
      <c r="X147" s="373"/>
    </row>
    <row r="148" spans="16:24" x14ac:dyDescent="0.2">
      <c r="P148" s="372"/>
      <c r="Q148" s="374"/>
      <c r="R148" s="373"/>
      <c r="V148" s="372"/>
      <c r="W148" s="374"/>
      <c r="X148" s="373"/>
    </row>
    <row r="149" spans="16:24" x14ac:dyDescent="0.2">
      <c r="P149" s="372"/>
      <c r="Q149" s="374"/>
      <c r="R149" s="373"/>
      <c r="V149" s="372"/>
      <c r="W149" s="374"/>
      <c r="X149" s="373"/>
    </row>
    <row r="150" spans="16:24" x14ac:dyDescent="0.2">
      <c r="P150" s="372"/>
      <c r="Q150" s="374"/>
      <c r="R150" s="373"/>
      <c r="V150" s="372"/>
      <c r="W150" s="374"/>
      <c r="X150" s="373"/>
    </row>
    <row r="151" spans="16:24" x14ac:dyDescent="0.2">
      <c r="P151" s="372"/>
      <c r="Q151" s="374"/>
      <c r="R151" s="373"/>
      <c r="V151" s="372"/>
      <c r="W151" s="374"/>
      <c r="X151" s="373"/>
    </row>
    <row r="152" spans="16:24" x14ac:dyDescent="0.2">
      <c r="P152" s="372"/>
      <c r="Q152" s="374"/>
      <c r="R152" s="373"/>
      <c r="V152" s="372"/>
      <c r="W152" s="374"/>
      <c r="X152" s="373"/>
    </row>
    <row r="153" spans="16:24" x14ac:dyDescent="0.2">
      <c r="P153" s="372"/>
      <c r="Q153" s="374"/>
      <c r="R153" s="373"/>
      <c r="V153" s="372"/>
      <c r="W153" s="374"/>
      <c r="X153" s="373"/>
    </row>
    <row r="154" spans="16:24" x14ac:dyDescent="0.2">
      <c r="P154" s="372"/>
      <c r="Q154" s="374"/>
      <c r="R154" s="373"/>
      <c r="V154" s="372"/>
      <c r="W154" s="374"/>
      <c r="X154" s="373"/>
    </row>
    <row r="155" spans="16:24" x14ac:dyDescent="0.2">
      <c r="P155" s="372"/>
      <c r="Q155" s="374"/>
      <c r="R155" s="373"/>
      <c r="V155" s="372"/>
      <c r="W155" s="374"/>
      <c r="X155" s="373"/>
    </row>
    <row r="156" spans="16:24" x14ac:dyDescent="0.2">
      <c r="P156" s="372"/>
      <c r="Q156" s="374"/>
      <c r="R156" s="373"/>
      <c r="V156" s="372"/>
      <c r="W156" s="374"/>
      <c r="X156" s="373"/>
    </row>
    <row r="157" spans="16:24" x14ac:dyDescent="0.2">
      <c r="P157" s="372"/>
      <c r="Q157" s="374"/>
      <c r="R157" s="373"/>
      <c r="V157" s="372"/>
      <c r="W157" s="374"/>
      <c r="X157" s="373"/>
    </row>
    <row r="158" spans="16:24" x14ac:dyDescent="0.2">
      <c r="P158" s="372"/>
      <c r="Q158" s="374"/>
      <c r="R158" s="373"/>
      <c r="V158" s="372"/>
      <c r="W158" s="374"/>
      <c r="X158" s="373"/>
    </row>
    <row r="159" spans="16:24" x14ac:dyDescent="0.2">
      <c r="P159" s="372"/>
      <c r="Q159" s="374"/>
      <c r="R159" s="373"/>
      <c r="V159" s="372"/>
      <c r="W159" s="374"/>
      <c r="X159" s="373"/>
    </row>
    <row r="160" spans="16:24" x14ac:dyDescent="0.2">
      <c r="P160" s="372"/>
      <c r="Q160" s="374"/>
      <c r="R160" s="373"/>
      <c r="V160" s="372"/>
      <c r="W160" s="374"/>
      <c r="X160" s="373"/>
    </row>
    <row r="161" spans="16:24" x14ac:dyDescent="0.2">
      <c r="P161" s="372"/>
      <c r="Q161" s="374"/>
      <c r="R161" s="373"/>
      <c r="V161" s="372"/>
      <c r="W161" s="374"/>
      <c r="X161" s="373"/>
    </row>
    <row r="162" spans="16:24" x14ac:dyDescent="0.2">
      <c r="P162" s="372"/>
      <c r="Q162" s="374"/>
      <c r="R162" s="373"/>
      <c r="V162" s="372"/>
      <c r="W162" s="374"/>
      <c r="X162" s="373"/>
    </row>
    <row r="163" spans="16:24" x14ac:dyDescent="0.2">
      <c r="P163" s="372"/>
      <c r="Q163" s="374"/>
      <c r="R163" s="373"/>
      <c r="V163" s="372"/>
      <c r="W163" s="374"/>
      <c r="X163" s="373"/>
    </row>
    <row r="164" spans="16:24" x14ac:dyDescent="0.2">
      <c r="P164" s="372"/>
      <c r="Q164" s="374"/>
      <c r="R164" s="373"/>
      <c r="V164" s="372"/>
      <c r="W164" s="374"/>
      <c r="X164" s="373"/>
    </row>
    <row r="165" spans="16:24" x14ac:dyDescent="0.2">
      <c r="P165" s="372"/>
      <c r="Q165" s="374"/>
      <c r="R165" s="373"/>
      <c r="V165" s="372"/>
      <c r="W165" s="374"/>
      <c r="X165" s="373"/>
    </row>
    <row r="166" spans="16:24" x14ac:dyDescent="0.2">
      <c r="P166" s="372"/>
      <c r="Q166" s="374"/>
      <c r="R166" s="373"/>
      <c r="V166" s="372"/>
      <c r="W166" s="374"/>
      <c r="X166" s="373"/>
    </row>
    <row r="167" spans="16:24" x14ac:dyDescent="0.2">
      <c r="P167" s="372"/>
      <c r="Q167" s="374"/>
      <c r="R167" s="373"/>
      <c r="V167" s="372"/>
      <c r="W167" s="374"/>
      <c r="X167" s="373"/>
    </row>
    <row r="168" spans="16:24" x14ac:dyDescent="0.2">
      <c r="P168" s="372"/>
      <c r="Q168" s="374"/>
      <c r="R168" s="373"/>
      <c r="V168" s="372"/>
      <c r="W168" s="374"/>
      <c r="X168" s="373"/>
    </row>
    <row r="169" spans="16:24" x14ac:dyDescent="0.2">
      <c r="P169" s="372"/>
      <c r="Q169" s="374"/>
      <c r="R169" s="373"/>
      <c r="V169" s="372"/>
      <c r="W169" s="374"/>
      <c r="X169" s="373"/>
    </row>
    <row r="170" spans="16:24" x14ac:dyDescent="0.2">
      <c r="P170" s="372"/>
      <c r="Q170" s="374"/>
      <c r="R170" s="373"/>
      <c r="V170" s="372"/>
      <c r="W170" s="374"/>
      <c r="X170" s="373"/>
    </row>
    <row r="171" spans="16:24" x14ac:dyDescent="0.2">
      <c r="P171" s="372"/>
      <c r="Q171" s="374"/>
      <c r="R171" s="373"/>
      <c r="V171" s="372"/>
      <c r="W171" s="374"/>
      <c r="X171" s="373"/>
    </row>
    <row r="172" spans="16:24" x14ac:dyDescent="0.2">
      <c r="P172" s="372"/>
      <c r="Q172" s="374"/>
      <c r="R172" s="373"/>
      <c r="V172" s="372"/>
      <c r="W172" s="374"/>
      <c r="X172" s="373"/>
    </row>
    <row r="173" spans="16:24" x14ac:dyDescent="0.2">
      <c r="P173" s="372"/>
      <c r="Q173" s="374"/>
      <c r="R173" s="373"/>
      <c r="V173" s="372"/>
      <c r="W173" s="374"/>
      <c r="X173" s="373"/>
    </row>
    <row r="174" spans="16:24" x14ac:dyDescent="0.2">
      <c r="P174" s="372"/>
      <c r="Q174" s="374"/>
      <c r="R174" s="373"/>
      <c r="V174" s="372"/>
      <c r="W174" s="374"/>
      <c r="X174" s="373"/>
    </row>
    <row r="175" spans="16:24" x14ac:dyDescent="0.2">
      <c r="P175" s="372"/>
      <c r="Q175" s="374"/>
      <c r="R175" s="373"/>
      <c r="V175" s="372"/>
      <c r="W175" s="374"/>
      <c r="X175" s="373"/>
    </row>
    <row r="176" spans="16:24" x14ac:dyDescent="0.2">
      <c r="P176" s="372"/>
      <c r="Q176" s="374"/>
      <c r="R176" s="373"/>
      <c r="V176" s="372"/>
      <c r="W176" s="374"/>
      <c r="X176" s="373"/>
    </row>
    <row r="177" spans="16:24" x14ac:dyDescent="0.2">
      <c r="P177" s="372"/>
      <c r="Q177" s="374"/>
      <c r="R177" s="373"/>
      <c r="V177" s="372"/>
      <c r="W177" s="374"/>
      <c r="X177" s="373"/>
    </row>
    <row r="178" spans="16:24" x14ac:dyDescent="0.2">
      <c r="P178" s="372"/>
      <c r="Q178" s="374"/>
      <c r="R178" s="373"/>
      <c r="V178" s="372"/>
      <c r="W178" s="374"/>
      <c r="X178" s="373"/>
    </row>
    <row r="179" spans="16:24" x14ac:dyDescent="0.2">
      <c r="P179" s="372"/>
      <c r="Q179" s="374"/>
      <c r="R179" s="373"/>
      <c r="V179" s="372"/>
      <c r="W179" s="374"/>
      <c r="X179" s="373"/>
    </row>
    <row r="180" spans="16:24" x14ac:dyDescent="0.2">
      <c r="P180" s="372"/>
      <c r="Q180" s="374"/>
      <c r="R180" s="373"/>
      <c r="V180" s="372"/>
      <c r="W180" s="374"/>
      <c r="X180" s="373"/>
    </row>
    <row r="181" spans="16:24" x14ac:dyDescent="0.2">
      <c r="P181" s="372"/>
      <c r="Q181" s="374"/>
      <c r="R181" s="373"/>
      <c r="V181" s="372"/>
      <c r="W181" s="374"/>
      <c r="X181" s="373"/>
    </row>
    <row r="182" spans="16:24" x14ac:dyDescent="0.2">
      <c r="P182" s="372"/>
      <c r="Q182" s="374"/>
      <c r="R182" s="373"/>
      <c r="V182" s="372"/>
      <c r="W182" s="374"/>
      <c r="X182" s="373"/>
    </row>
    <row r="183" spans="16:24" x14ac:dyDescent="0.2">
      <c r="P183" s="372"/>
      <c r="Q183" s="374"/>
      <c r="R183" s="373"/>
      <c r="V183" s="372"/>
      <c r="W183" s="374"/>
      <c r="X183" s="373"/>
    </row>
    <row r="184" spans="16:24" x14ac:dyDescent="0.2">
      <c r="P184" s="372"/>
      <c r="Q184" s="374"/>
      <c r="R184" s="373"/>
      <c r="V184" s="372"/>
      <c r="W184" s="374"/>
      <c r="X184" s="373"/>
    </row>
    <row r="185" spans="16:24" x14ac:dyDescent="0.2">
      <c r="P185" s="372"/>
      <c r="Q185" s="374"/>
      <c r="R185" s="373"/>
      <c r="V185" s="372"/>
      <c r="W185" s="374"/>
      <c r="X185" s="373"/>
    </row>
    <row r="186" spans="16:24" x14ac:dyDescent="0.2">
      <c r="P186" s="372"/>
      <c r="Q186" s="374"/>
      <c r="R186" s="373"/>
      <c r="V186" s="372"/>
      <c r="W186" s="374"/>
      <c r="X186" s="373"/>
    </row>
    <row r="187" spans="16:24" x14ac:dyDescent="0.2">
      <c r="P187" s="372"/>
      <c r="Q187" s="374"/>
      <c r="R187" s="373"/>
      <c r="V187" s="372"/>
      <c r="W187" s="374"/>
      <c r="X187" s="373"/>
    </row>
    <row r="188" spans="16:24" x14ac:dyDescent="0.2">
      <c r="P188" s="372"/>
      <c r="Q188" s="374"/>
      <c r="R188" s="373"/>
      <c r="V188" s="372"/>
      <c r="W188" s="374"/>
      <c r="X188" s="373"/>
    </row>
    <row r="189" spans="16:24" x14ac:dyDescent="0.2">
      <c r="P189" s="372"/>
      <c r="Q189" s="374"/>
      <c r="R189" s="373"/>
      <c r="V189" s="372"/>
      <c r="W189" s="374"/>
      <c r="X189" s="373"/>
    </row>
    <row r="190" spans="16:24" x14ac:dyDescent="0.2">
      <c r="P190" s="372"/>
      <c r="Q190" s="374"/>
      <c r="R190" s="373"/>
      <c r="V190" s="372"/>
      <c r="W190" s="374"/>
      <c r="X190" s="373"/>
    </row>
    <row r="191" spans="16:24" x14ac:dyDescent="0.2">
      <c r="P191" s="372"/>
      <c r="Q191" s="374"/>
      <c r="R191" s="373"/>
      <c r="V191" s="372"/>
      <c r="W191" s="374"/>
      <c r="X191" s="373"/>
    </row>
    <row r="192" spans="16:24" x14ac:dyDescent="0.2">
      <c r="P192" s="372"/>
      <c r="Q192" s="374"/>
      <c r="R192" s="373"/>
      <c r="V192" s="372"/>
      <c r="W192" s="374"/>
      <c r="X192" s="373"/>
    </row>
    <row r="193" spans="16:24" x14ac:dyDescent="0.2">
      <c r="P193" s="372"/>
      <c r="Q193" s="374"/>
      <c r="R193" s="373"/>
      <c r="V193" s="372"/>
      <c r="W193" s="374"/>
      <c r="X193" s="373"/>
    </row>
    <row r="194" spans="16:24" x14ac:dyDescent="0.2">
      <c r="P194" s="372"/>
      <c r="Q194" s="374"/>
      <c r="R194" s="373"/>
      <c r="V194" s="372"/>
      <c r="W194" s="374"/>
      <c r="X194" s="373"/>
    </row>
    <row r="195" spans="16:24" x14ac:dyDescent="0.2">
      <c r="P195" s="372"/>
      <c r="Q195" s="374"/>
      <c r="R195" s="373"/>
      <c r="V195" s="372"/>
      <c r="W195" s="374"/>
      <c r="X195" s="373"/>
    </row>
    <row r="196" spans="16:24" x14ac:dyDescent="0.2">
      <c r="P196" s="372"/>
      <c r="Q196" s="374"/>
      <c r="R196" s="373"/>
      <c r="V196" s="372"/>
      <c r="W196" s="374"/>
      <c r="X196" s="373"/>
    </row>
    <row r="197" spans="16:24" x14ac:dyDescent="0.2">
      <c r="P197" s="372"/>
      <c r="Q197" s="374"/>
      <c r="R197" s="373"/>
      <c r="V197" s="372"/>
      <c r="W197" s="374"/>
      <c r="X197" s="373"/>
    </row>
    <row r="198" spans="16:24" x14ac:dyDescent="0.2">
      <c r="P198" s="372"/>
      <c r="Q198" s="374"/>
      <c r="R198" s="373"/>
      <c r="V198" s="372"/>
      <c r="W198" s="374"/>
      <c r="X198" s="373"/>
    </row>
    <row r="199" spans="16:24" x14ac:dyDescent="0.2">
      <c r="P199" s="372"/>
      <c r="Q199" s="374"/>
      <c r="R199" s="373"/>
      <c r="V199" s="372"/>
      <c r="W199" s="374"/>
      <c r="X199" s="373"/>
    </row>
    <row r="200" spans="16:24" x14ac:dyDescent="0.2">
      <c r="P200" s="372"/>
      <c r="Q200" s="374"/>
      <c r="R200" s="373"/>
      <c r="V200" s="372"/>
      <c r="W200" s="374"/>
      <c r="X200" s="373"/>
    </row>
    <row r="201" spans="16:24" x14ac:dyDescent="0.2">
      <c r="P201" s="372"/>
      <c r="Q201" s="374"/>
      <c r="R201" s="373"/>
      <c r="V201" s="372"/>
      <c r="W201" s="374"/>
      <c r="X201" s="373"/>
    </row>
    <row r="202" spans="16:24" x14ac:dyDescent="0.2">
      <c r="P202" s="372"/>
      <c r="Q202" s="374"/>
      <c r="R202" s="373"/>
      <c r="V202" s="372"/>
      <c r="W202" s="374"/>
      <c r="X202" s="373"/>
    </row>
    <row r="203" spans="16:24" x14ac:dyDescent="0.2">
      <c r="P203" s="372"/>
      <c r="Q203" s="374"/>
      <c r="R203" s="373"/>
      <c r="V203" s="372"/>
      <c r="W203" s="374"/>
      <c r="X203" s="373"/>
    </row>
    <row r="204" spans="16:24" x14ac:dyDescent="0.2">
      <c r="P204" s="372"/>
      <c r="Q204" s="374"/>
      <c r="R204" s="373"/>
      <c r="V204" s="372"/>
      <c r="W204" s="374"/>
      <c r="X204" s="373"/>
    </row>
    <row r="205" spans="16:24" x14ac:dyDescent="0.2">
      <c r="P205" s="372"/>
      <c r="Q205" s="374"/>
      <c r="R205" s="373"/>
      <c r="V205" s="372"/>
      <c r="W205" s="374"/>
      <c r="X205" s="373"/>
    </row>
    <row r="206" spans="16:24" x14ac:dyDescent="0.2">
      <c r="P206" s="372"/>
      <c r="Q206" s="374"/>
      <c r="R206" s="373"/>
      <c r="V206" s="372"/>
      <c r="W206" s="374"/>
      <c r="X206" s="373"/>
    </row>
    <row r="207" spans="16:24" x14ac:dyDescent="0.2">
      <c r="P207" s="372"/>
      <c r="Q207" s="374"/>
      <c r="R207" s="373"/>
      <c r="V207" s="372"/>
      <c r="W207" s="374"/>
      <c r="X207" s="373"/>
    </row>
    <row r="208" spans="16:24" x14ac:dyDescent="0.2">
      <c r="P208" s="372"/>
      <c r="Q208" s="374"/>
      <c r="R208" s="373"/>
      <c r="V208" s="372"/>
      <c r="W208" s="374"/>
      <c r="X208" s="373"/>
    </row>
    <row r="209" spans="16:24" x14ac:dyDescent="0.2">
      <c r="P209" s="372"/>
      <c r="Q209" s="374"/>
      <c r="R209" s="373"/>
      <c r="V209" s="372"/>
      <c r="W209" s="374"/>
      <c r="X209" s="373"/>
    </row>
    <row r="210" spans="16:24" x14ac:dyDescent="0.2">
      <c r="P210" s="372"/>
      <c r="Q210" s="374"/>
      <c r="R210" s="373"/>
      <c r="V210" s="372"/>
      <c r="W210" s="374"/>
      <c r="X210" s="373"/>
    </row>
    <row r="211" spans="16:24" x14ac:dyDescent="0.2">
      <c r="P211" s="372"/>
      <c r="Q211" s="374"/>
      <c r="R211" s="373"/>
      <c r="V211" s="372"/>
      <c r="W211" s="374"/>
      <c r="X211" s="373"/>
    </row>
    <row r="212" spans="16:24" x14ac:dyDescent="0.2">
      <c r="P212" s="372"/>
      <c r="Q212" s="374"/>
      <c r="R212" s="373"/>
      <c r="V212" s="372"/>
      <c r="W212" s="374"/>
      <c r="X212" s="373"/>
    </row>
    <row r="213" spans="16:24" x14ac:dyDescent="0.2">
      <c r="P213" s="372"/>
      <c r="Q213" s="374"/>
      <c r="R213" s="373"/>
      <c r="V213" s="372"/>
      <c r="W213" s="374"/>
      <c r="X213" s="373"/>
    </row>
    <row r="214" spans="16:24" x14ac:dyDescent="0.2">
      <c r="P214" s="372"/>
      <c r="Q214" s="374"/>
      <c r="R214" s="373"/>
      <c r="V214" s="372"/>
      <c r="W214" s="374"/>
      <c r="X214" s="373"/>
    </row>
    <row r="215" spans="16:24" x14ac:dyDescent="0.2">
      <c r="P215" s="372"/>
      <c r="Q215" s="374"/>
      <c r="R215" s="373"/>
      <c r="V215" s="372"/>
      <c r="W215" s="374"/>
      <c r="X215" s="373"/>
    </row>
    <row r="216" spans="16:24" x14ac:dyDescent="0.2">
      <c r="P216" s="372"/>
      <c r="Q216" s="374"/>
      <c r="R216" s="373"/>
      <c r="V216" s="372"/>
      <c r="W216" s="374"/>
      <c r="X216" s="373"/>
    </row>
    <row r="217" spans="16:24" x14ac:dyDescent="0.2">
      <c r="P217" s="372"/>
      <c r="Q217" s="374"/>
      <c r="R217" s="373"/>
      <c r="V217" s="372"/>
      <c r="W217" s="374"/>
      <c r="X217" s="373"/>
    </row>
    <row r="218" spans="16:24" x14ac:dyDescent="0.2">
      <c r="P218" s="372"/>
      <c r="Q218" s="374"/>
      <c r="R218" s="373"/>
      <c r="V218" s="372"/>
      <c r="W218" s="374"/>
      <c r="X218" s="373"/>
    </row>
    <row r="219" spans="16:24" x14ac:dyDescent="0.2">
      <c r="P219" s="372"/>
      <c r="Q219" s="374"/>
      <c r="R219" s="373"/>
      <c r="V219" s="372"/>
      <c r="W219" s="374"/>
      <c r="X219" s="373"/>
    </row>
    <row r="220" spans="16:24" x14ac:dyDescent="0.2">
      <c r="P220" s="372"/>
      <c r="Q220" s="374"/>
      <c r="R220" s="373"/>
      <c r="V220" s="372"/>
      <c r="W220" s="374"/>
      <c r="X220" s="373"/>
    </row>
    <row r="221" spans="16:24" x14ac:dyDescent="0.2">
      <c r="P221" s="372"/>
      <c r="Q221" s="374"/>
      <c r="R221" s="373"/>
      <c r="V221" s="372"/>
      <c r="W221" s="374"/>
      <c r="X221" s="373"/>
    </row>
    <row r="222" spans="16:24" x14ac:dyDescent="0.2">
      <c r="P222" s="372"/>
      <c r="Q222" s="374"/>
      <c r="R222" s="373"/>
      <c r="V222" s="372"/>
      <c r="W222" s="374"/>
      <c r="X222" s="373"/>
    </row>
    <row r="223" spans="16:24" x14ac:dyDescent="0.2">
      <c r="P223" s="372"/>
      <c r="Q223" s="374"/>
      <c r="R223" s="373"/>
      <c r="V223" s="372"/>
      <c r="W223" s="374"/>
      <c r="X223" s="373"/>
    </row>
    <row r="224" spans="16:24" x14ac:dyDescent="0.2">
      <c r="P224" s="372"/>
      <c r="Q224" s="374"/>
      <c r="R224" s="373"/>
      <c r="V224" s="372"/>
      <c r="W224" s="374"/>
      <c r="X224" s="373"/>
    </row>
    <row r="225" spans="16:24" x14ac:dyDescent="0.2">
      <c r="P225" s="372"/>
      <c r="Q225" s="374"/>
      <c r="R225" s="373"/>
      <c r="V225" s="372"/>
      <c r="W225" s="374"/>
      <c r="X225" s="373"/>
    </row>
    <row r="226" spans="16:24" x14ac:dyDescent="0.2">
      <c r="P226" s="372"/>
      <c r="Q226" s="374"/>
      <c r="R226" s="373"/>
      <c r="V226" s="372"/>
      <c r="W226" s="374"/>
      <c r="X226" s="373"/>
    </row>
    <row r="227" spans="16:24" x14ac:dyDescent="0.2">
      <c r="P227" s="372"/>
      <c r="Q227" s="374"/>
      <c r="R227" s="373"/>
      <c r="V227" s="372"/>
      <c r="W227" s="374"/>
      <c r="X227" s="373"/>
    </row>
    <row r="228" spans="16:24" x14ac:dyDescent="0.2">
      <c r="P228" s="372"/>
      <c r="Q228" s="374"/>
      <c r="R228" s="373"/>
      <c r="V228" s="372"/>
      <c r="W228" s="374"/>
      <c r="X228" s="373"/>
    </row>
    <row r="229" spans="16:24" x14ac:dyDescent="0.2">
      <c r="P229" s="372"/>
      <c r="Q229" s="374"/>
      <c r="R229" s="373"/>
      <c r="V229" s="372"/>
      <c r="W229" s="374"/>
      <c r="X229" s="373"/>
    </row>
    <row r="230" spans="16:24" x14ac:dyDescent="0.2">
      <c r="P230" s="372"/>
      <c r="Q230" s="374"/>
      <c r="R230" s="373"/>
      <c r="V230" s="372"/>
      <c r="W230" s="374"/>
      <c r="X230" s="373"/>
    </row>
    <row r="231" spans="16:24" x14ac:dyDescent="0.2">
      <c r="P231" s="372"/>
      <c r="Q231" s="374"/>
      <c r="R231" s="373"/>
      <c r="V231" s="372"/>
      <c r="W231" s="374"/>
      <c r="X231" s="373"/>
    </row>
    <row r="232" spans="16:24" x14ac:dyDescent="0.2">
      <c r="P232" s="372"/>
      <c r="Q232" s="374"/>
      <c r="R232" s="373"/>
      <c r="V232" s="372"/>
      <c r="W232" s="374"/>
      <c r="X232" s="373"/>
    </row>
    <row r="233" spans="16:24" x14ac:dyDescent="0.2">
      <c r="P233" s="372"/>
      <c r="Q233" s="374"/>
      <c r="R233" s="373"/>
      <c r="V233" s="372"/>
      <c r="W233" s="374"/>
      <c r="X233" s="373"/>
    </row>
    <row r="234" spans="16:24" x14ac:dyDescent="0.2">
      <c r="P234" s="372"/>
      <c r="Q234" s="374"/>
      <c r="R234" s="373"/>
      <c r="V234" s="372"/>
      <c r="W234" s="374"/>
      <c r="X234" s="373"/>
    </row>
    <row r="235" spans="16:24" x14ac:dyDescent="0.2">
      <c r="P235" s="372"/>
      <c r="Q235" s="374"/>
      <c r="R235" s="373"/>
      <c r="V235" s="372"/>
      <c r="W235" s="374"/>
      <c r="X235" s="373"/>
    </row>
    <row r="236" spans="16:24" x14ac:dyDescent="0.2">
      <c r="P236" s="372"/>
      <c r="Q236" s="374"/>
      <c r="R236" s="373"/>
      <c r="V236" s="372"/>
      <c r="W236" s="374"/>
      <c r="X236" s="373"/>
    </row>
    <row r="237" spans="16:24" x14ac:dyDescent="0.2">
      <c r="P237" s="372"/>
      <c r="Q237" s="374"/>
      <c r="R237" s="373"/>
      <c r="V237" s="372"/>
      <c r="W237" s="374"/>
      <c r="X237" s="373"/>
    </row>
    <row r="238" spans="16:24" x14ac:dyDescent="0.2">
      <c r="P238" s="372"/>
      <c r="Q238" s="374"/>
      <c r="R238" s="373"/>
      <c r="V238" s="372"/>
      <c r="W238" s="374"/>
      <c r="X238" s="373"/>
    </row>
    <row r="239" spans="16:24" x14ac:dyDescent="0.2">
      <c r="P239" s="372"/>
      <c r="Q239" s="374"/>
      <c r="R239" s="373"/>
      <c r="V239" s="372"/>
      <c r="W239" s="374"/>
      <c r="X239" s="373"/>
    </row>
    <row r="240" spans="16:24" x14ac:dyDescent="0.2">
      <c r="P240" s="372"/>
      <c r="Q240" s="374"/>
      <c r="R240" s="373"/>
      <c r="V240" s="372"/>
      <c r="W240" s="374"/>
      <c r="X240" s="373"/>
    </row>
    <row r="241" spans="16:24" x14ac:dyDescent="0.2">
      <c r="P241" s="372"/>
      <c r="Q241" s="374"/>
      <c r="R241" s="373"/>
      <c r="V241" s="372"/>
      <c r="W241" s="374"/>
      <c r="X241" s="373"/>
    </row>
    <row r="242" spans="16:24" x14ac:dyDescent="0.2">
      <c r="P242" s="372"/>
      <c r="Q242" s="374"/>
      <c r="R242" s="373"/>
      <c r="V242" s="372"/>
      <c r="W242" s="374"/>
      <c r="X242" s="373"/>
    </row>
    <row r="243" spans="16:24" x14ac:dyDescent="0.2">
      <c r="P243" s="372"/>
      <c r="Q243" s="374"/>
      <c r="R243" s="373"/>
      <c r="V243" s="372"/>
      <c r="W243" s="374"/>
      <c r="X243" s="373"/>
    </row>
    <row r="244" spans="16:24" x14ac:dyDescent="0.2">
      <c r="P244" s="372"/>
      <c r="Q244" s="374"/>
      <c r="R244" s="373"/>
      <c r="V244" s="372"/>
      <c r="W244" s="374"/>
      <c r="X244" s="373"/>
    </row>
    <row r="245" spans="16:24" x14ac:dyDescent="0.2">
      <c r="P245" s="372"/>
      <c r="Q245" s="374"/>
      <c r="R245" s="373"/>
    </row>
  </sheetData>
  <sortState xmlns:xlrd2="http://schemas.microsoft.com/office/spreadsheetml/2017/richdata2" ref="B44:AA51">
    <sortCondition descending="1" ref="Q44:Q51"/>
  </sortState>
  <pageMargins left="0.7" right="0.7" top="0.75" bottom="0.75" header="0.3" footer="0.3"/>
  <pageSetup scale="61" orientation="portrait" r:id="rId1"/>
  <rowBreaks count="2" manualBreakCount="2">
    <brk id="1" max="13" man="1"/>
    <brk id="52" max="1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18D5-BB05-419C-86E4-617D169B523E}">
  <sheetPr>
    <pageSetUpPr autoPageBreaks="0"/>
  </sheetPr>
  <dimension ref="B1:X67"/>
  <sheetViews>
    <sheetView showGridLines="0" topLeftCell="A8" zoomScaleNormal="100" workbookViewId="0">
      <selection activeCell="L23" sqref="L23"/>
    </sheetView>
  </sheetViews>
  <sheetFormatPr baseColWidth="10" defaultColWidth="9.1640625" defaultRowHeight="16" outlineLevelRow="1" outlineLevelCol="1" x14ac:dyDescent="0.2"/>
  <cols>
    <col min="1" max="1" width="2.5" style="30" customWidth="1"/>
    <col min="2" max="2" width="47.83203125" style="30" bestFit="1" customWidth="1"/>
    <col min="3" max="3" width="13.1640625" style="30" hidden="1" customWidth="1" outlineLevel="1"/>
    <col min="4" max="4" width="12.33203125" style="30" customWidth="1" collapsed="1"/>
    <col min="5" max="12" width="12.33203125" style="30" customWidth="1"/>
    <col min="13" max="13" width="2.5" style="30" customWidth="1"/>
    <col min="14" max="14" width="2.5" style="79" customWidth="1"/>
    <col min="15" max="23" width="12.33203125" style="30" customWidth="1"/>
    <col min="24" max="16384" width="9.1640625" style="30"/>
  </cols>
  <sheetData>
    <row r="1" spans="2:15" ht="15.75" customHeight="1" x14ac:dyDescent="0.2"/>
    <row r="2" spans="2:15" ht="15.75" customHeight="1" x14ac:dyDescent="0.25">
      <c r="B2" s="127" t="str">
        <f>"WACC Analysis - "&amp;Company_Name</f>
        <v>WACC Analysis - easyJet plc</v>
      </c>
      <c r="C2" s="128"/>
    </row>
    <row r="3" spans="2:15" ht="15.75" customHeight="1" x14ac:dyDescent="0.2">
      <c r="B3" s="68" t="str">
        <f>Public_Comps!$B$3</f>
        <v>(£ GBP in Millions Except Per Share Amounts in GBP as Stated)</v>
      </c>
    </row>
    <row r="4" spans="2:15" ht="15.75" customHeight="1" x14ac:dyDescent="0.2">
      <c r="O4" s="129"/>
    </row>
    <row r="5" spans="2:15" ht="15.75" customHeight="1" x14ac:dyDescent="0.2">
      <c r="B5" s="315" t="s">
        <v>269</v>
      </c>
      <c r="C5" s="315"/>
      <c r="D5" s="316"/>
      <c r="E5" s="316"/>
      <c r="F5" s="316"/>
      <c r="G5" s="130"/>
      <c r="H5" s="130"/>
      <c r="N5" s="30"/>
    </row>
    <row r="6" spans="2:15" ht="15.75" customHeight="1" x14ac:dyDescent="0.2">
      <c r="B6" s="68" t="s">
        <v>270</v>
      </c>
      <c r="C6" s="68"/>
      <c r="F6" s="131">
        <v>4.5199999999999997E-2</v>
      </c>
      <c r="G6" s="132"/>
      <c r="H6" s="132"/>
      <c r="N6" s="30"/>
    </row>
    <row r="7" spans="2:15" ht="15.75" customHeight="1" x14ac:dyDescent="0.2">
      <c r="B7" s="68" t="s">
        <v>271</v>
      </c>
      <c r="C7" s="68"/>
      <c r="F7" s="131">
        <v>6.5000000000000002E-2</v>
      </c>
      <c r="G7" s="132"/>
      <c r="H7" s="132"/>
    </row>
    <row r="8" spans="2:15" ht="15.75" customHeight="1" x14ac:dyDescent="0.2">
      <c r="B8" s="68" t="s">
        <v>272</v>
      </c>
      <c r="C8" s="68"/>
      <c r="F8" s="133">
        <f>EZJ!K187</f>
        <v>0.05</v>
      </c>
      <c r="G8" s="132"/>
      <c r="H8" s="132"/>
      <c r="I8" s="134"/>
      <c r="J8" s="134"/>
    </row>
    <row r="9" spans="2:15" ht="15.75" customHeight="1" x14ac:dyDescent="0.2">
      <c r="B9" s="68" t="s">
        <v>273</v>
      </c>
      <c r="C9" s="68"/>
      <c r="F9" s="131">
        <v>0</v>
      </c>
      <c r="G9" s="132"/>
      <c r="H9" s="132"/>
      <c r="I9" s="134"/>
      <c r="J9" s="134"/>
    </row>
    <row r="10" spans="2:15" ht="15.75" customHeight="1" x14ac:dyDescent="0.2"/>
    <row r="11" spans="2:15" ht="15.75" hidden="1" customHeight="1" outlineLevel="1" x14ac:dyDescent="0.2">
      <c r="B11" s="135" t="str">
        <f>Public_Comps!$B$8</f>
        <v>Company Name</v>
      </c>
      <c r="C11" s="136"/>
      <c r="D11" s="137" t="str">
        <f>Public_Comps!$G$8</f>
        <v>Beta</v>
      </c>
      <c r="E11" s="137" t="str">
        <f>Public_Comps!$J$8</f>
        <v>Debt</v>
      </c>
      <c r="F11" s="136"/>
      <c r="G11" s="137" t="str">
        <f>Public_Comps!$L$8</f>
        <v>Preferred</v>
      </c>
      <c r="H11" s="136"/>
      <c r="I11" s="135" t="str">
        <f>Public_Comps!$F$8</f>
        <v xml:space="preserve">Value </v>
      </c>
      <c r="J11" s="138"/>
      <c r="K11" s="137" t="str">
        <f>Public_Comps!$H$8</f>
        <v>Tax Rate</v>
      </c>
      <c r="L11" s="139"/>
    </row>
    <row r="12" spans="2:15" ht="15.75" customHeight="1" collapsed="1" x14ac:dyDescent="0.2">
      <c r="B12" s="274" t="s">
        <v>274</v>
      </c>
      <c r="C12" s="274"/>
      <c r="D12" s="274"/>
      <c r="E12" s="274"/>
      <c r="F12" s="274"/>
      <c r="G12" s="274"/>
      <c r="H12" s="274"/>
      <c r="I12" s="274"/>
      <c r="J12" s="274"/>
      <c r="K12" s="274"/>
      <c r="L12" s="274"/>
    </row>
    <row r="13" spans="2:15" ht="15.75" customHeight="1" x14ac:dyDescent="0.2">
      <c r="B13" s="274"/>
      <c r="C13" s="274"/>
      <c r="D13" s="278" t="s">
        <v>275</v>
      </c>
      <c r="E13" s="278"/>
      <c r="F13" s="278"/>
      <c r="G13" s="278" t="s">
        <v>276</v>
      </c>
      <c r="H13" s="278"/>
      <c r="I13" s="278" t="s">
        <v>277</v>
      </c>
      <c r="J13" s="278"/>
      <c r="K13" s="278"/>
      <c r="L13" s="278" t="s">
        <v>278</v>
      </c>
      <c r="N13" s="30"/>
    </row>
    <row r="14" spans="2:15" ht="15.75" customHeight="1" x14ac:dyDescent="0.2">
      <c r="B14" s="280" t="s">
        <v>4</v>
      </c>
      <c r="C14" s="280" t="s">
        <v>279</v>
      </c>
      <c r="D14" s="281" t="s">
        <v>280</v>
      </c>
      <c r="E14" s="281" t="s">
        <v>281</v>
      </c>
      <c r="F14" s="281" t="s">
        <v>282</v>
      </c>
      <c r="G14" s="281" t="s">
        <v>283</v>
      </c>
      <c r="H14" s="281" t="s">
        <v>284</v>
      </c>
      <c r="I14" s="281" t="s">
        <v>285</v>
      </c>
      <c r="J14" s="281" t="s">
        <v>286</v>
      </c>
      <c r="K14" s="281" t="s">
        <v>287</v>
      </c>
      <c r="L14" s="281" t="s">
        <v>280</v>
      </c>
    </row>
    <row r="15" spans="2:15" ht="15.75" customHeight="1" x14ac:dyDescent="0.2">
      <c r="B15" s="68" t="str">
        <f>INDEX(Pub_Comps_Data,MATCH(WACC!$C15,Ticker_Range,0),MATCH(WACC!B$11,Pub_Comps_Info_Range,0))</f>
        <v>Ryanair Holdings plc</v>
      </c>
      <c r="C15" s="68" t="s">
        <v>257</v>
      </c>
      <c r="D15" s="140">
        <f>INDEX(Pub_Comps_Data,MATCH(WACC!$C15,Ticker_Range,0),MATCH(WACC!D$11,Pub_Comps_Info_Range,0))</f>
        <v>1.48</v>
      </c>
      <c r="E15" s="313">
        <f>INDEX(Pub_Comps_Data,MATCH(WACC!$C15,Ticker_Range,0),MATCH(WACC!E$11,Pub_Comps_Info_Range,0))</f>
        <v>4253.5</v>
      </c>
      <c r="F15" s="141">
        <f>E15/($E15+$G15+$I15)</f>
        <v>0.24753500873050477</v>
      </c>
      <c r="G15" s="313">
        <f>INDEX(Pub_Comps_Data,MATCH(WACC!$C15,Ticker_Range,0),MATCH(WACC!G$11,Pub_Comps_Info_Range,0))</f>
        <v>0</v>
      </c>
      <c r="H15" s="141">
        <f>G15/($E15+$G15+$I15)</f>
        <v>0</v>
      </c>
      <c r="I15" s="313">
        <f>INDEX(Pub_Comps_Data,MATCH(WACC!$C15,Ticker_Range,0),MATCH(WACC!I$11,Pub_Comps_Info_Range,0))</f>
        <v>12929.928000000002</v>
      </c>
      <c r="J15" s="141">
        <f>I15/($E15+$G15+$I15)</f>
        <v>0.75246499126949529</v>
      </c>
      <c r="K15" s="142">
        <f>INDEX(Pub_Comps_Data,MATCH(WACC!$C15,Ticker_Range,0),MATCH(WACC!K$11,Pub_Comps_Info_Range,0))</f>
        <v>0.15</v>
      </c>
      <c r="L15" s="143">
        <f>D15/(1+E15/I15*(1-K15)+G15/I15)</f>
        <v>1.1565927671873573</v>
      </c>
    </row>
    <row r="16" spans="2:15" ht="15.75" customHeight="1" x14ac:dyDescent="0.2">
      <c r="B16" s="68" t="str">
        <f>INDEX(Pub_Comps_Data,MATCH(WACC!$C16,Ticker_Range,0),MATCH(WACC!B$11,Pub_Comps_Info_Range,0))</f>
        <v>Wizz Air Holdings Plc</v>
      </c>
      <c r="C16" s="68" t="s">
        <v>259</v>
      </c>
      <c r="D16" s="140">
        <f>INDEX(Pub_Comps_Data,MATCH(WACC!$C16,Ticker_Range,0),MATCH(WACC!D$11,Pub_Comps_Info_Range,0))</f>
        <v>1.94</v>
      </c>
      <c r="E16" s="314">
        <f>INDEX(Pub_Comps_Data,MATCH(WACC!$C16,Ticker_Range,0),MATCH(WACC!E$11,Pub_Comps_Info_Range,0))</f>
        <v>897.07999999999993</v>
      </c>
      <c r="F16" s="141">
        <f t="shared" ref="F16:H21" si="0">E16/($E16+$G16+$I16)</f>
        <v>0.2555707751109369</v>
      </c>
      <c r="G16" s="314">
        <f>INDEX(Pub_Comps_Data,MATCH(WACC!$C16,Ticker_Range,0),MATCH(WACC!G$11,Pub_Comps_Info_Range,0))</f>
        <v>0</v>
      </c>
      <c r="H16" s="141">
        <f t="shared" si="0"/>
        <v>0</v>
      </c>
      <c r="I16" s="314">
        <f>INDEX(Pub_Comps_Data,MATCH(WACC!$C16,Ticker_Range,0),MATCH(WACC!I$11,Pub_Comps_Info_Range,0))</f>
        <v>2613.0239999999999</v>
      </c>
      <c r="J16" s="141">
        <f t="shared" ref="J16:J21" si="1">I16/($E16+$G16+$I16)</f>
        <v>0.74442922488906316</v>
      </c>
      <c r="K16" s="142">
        <f>INDEX(Pub_Comps_Data,MATCH(WACC!$C16,Ticker_Range,0),MATCH(WACC!K$11,Pub_Comps_Info_Range,0))</f>
        <v>0.15</v>
      </c>
      <c r="L16" s="143">
        <f t="shared" ref="L16:L21" si="2">D16/(1+E16/I16*(1-K16)+G16/I16)</f>
        <v>1.5017637345350763</v>
      </c>
    </row>
    <row r="17" spans="2:24" ht="15.75" customHeight="1" x14ac:dyDescent="0.2">
      <c r="B17" s="68" t="str">
        <f>INDEX(Pub_Comps_Data,MATCH(WACC!$C17,Ticker_Range,0),MATCH(WACC!B$11,Pub_Comps_Info_Range,0))</f>
        <v>Jet2 plc</v>
      </c>
      <c r="C17" s="68" t="s">
        <v>258</v>
      </c>
      <c r="D17" s="140">
        <f>INDEX(Pub_Comps_Data,MATCH(WACC!$C17,Ticker_Range,0),MATCH(WACC!D$11,Pub_Comps_Info_Range,0))</f>
        <v>2.21</v>
      </c>
      <c r="E17" s="314">
        <f>INDEX(Pub_Comps_Data,MATCH(WACC!$C17,Ticker_Range,0),MATCH(WACC!E$11,Pub_Comps_Info_Range,0))</f>
        <v>991.7</v>
      </c>
      <c r="F17" s="141">
        <f t="shared" si="0"/>
        <v>0.3207417689485873</v>
      </c>
      <c r="G17" s="314">
        <f>INDEX(Pub_Comps_Data,MATCH(WACC!$C17,Ticker_Range,0),MATCH(WACC!G$11,Pub_Comps_Info_Range,0))</f>
        <v>0</v>
      </c>
      <c r="H17" s="141">
        <f t="shared" si="0"/>
        <v>0</v>
      </c>
      <c r="I17" s="314">
        <f>INDEX(Pub_Comps_Data,MATCH(WACC!$C17,Ticker_Range,0),MATCH(WACC!I$11,Pub_Comps_Info_Range,0))</f>
        <v>2100.1954000000001</v>
      </c>
      <c r="J17" s="141">
        <f t="shared" si="1"/>
        <v>0.67925823105141259</v>
      </c>
      <c r="K17" s="142">
        <f>INDEX(Pub_Comps_Data,MATCH(WACC!$C17,Ticker_Range,0),MATCH(WACC!K$11,Pub_Comps_Info_Range,0))</f>
        <v>0.25</v>
      </c>
      <c r="L17" s="143">
        <f t="shared" si="2"/>
        <v>1.6320253663680888</v>
      </c>
    </row>
    <row r="18" spans="2:24" ht="15.75" customHeight="1" x14ac:dyDescent="0.2">
      <c r="B18" s="68" t="str">
        <f>INDEX(Pub_Comps_Data,MATCH(WACC!$C18,Ticker_Range,0),MATCH(WACC!B$11,Pub_Comps_Info_Range,0))</f>
        <v>Pegasus Hava Tasimaciligi Anonim Sirketi</v>
      </c>
      <c r="C18" s="68" t="s">
        <v>260</v>
      </c>
      <c r="D18" s="140">
        <f>INDEX(Pub_Comps_Data,MATCH(WACC!$C18,Ticker_Range,0),MATCH(WACC!D$11,Pub_Comps_Info_Range,0))</f>
        <v>1.69</v>
      </c>
      <c r="E18" s="314">
        <f>INDEX(Pub_Comps_Data,MATCH(WACC!$C18,Ticker_Range,0),MATCH(WACC!E$11,Pub_Comps_Info_Range,0))</f>
        <v>445.98496</v>
      </c>
      <c r="F18" s="141">
        <f t="shared" si="0"/>
        <v>0.3340781479784789</v>
      </c>
      <c r="G18" s="314">
        <f>INDEX(Pub_Comps_Data,MATCH(WACC!$C18,Ticker_Range,0),MATCH(WACC!G$11,Pub_Comps_Info_Range,0))</f>
        <v>0</v>
      </c>
      <c r="H18" s="141">
        <f t="shared" si="0"/>
        <v>0</v>
      </c>
      <c r="I18" s="314">
        <f>INDEX(Pub_Comps_Data,MATCH(WACC!$C18,Ticker_Range,0),MATCH(WACC!I$11,Pub_Comps_Info_Range,0))</f>
        <v>888.98699999999997</v>
      </c>
      <c r="J18" s="141">
        <f t="shared" si="1"/>
        <v>0.66592185202152121</v>
      </c>
      <c r="K18" s="142">
        <f>INDEX(Pub_Comps_Data,MATCH(WACC!$C18,Ticker_Range,0),MATCH(WACC!K$11,Pub_Comps_Info_Range,0))</f>
        <v>0.2</v>
      </c>
      <c r="L18" s="143">
        <f t="shared" si="2"/>
        <v>1.2059866898850706</v>
      </c>
    </row>
    <row r="19" spans="2:24" ht="15.75" customHeight="1" x14ac:dyDescent="0.2">
      <c r="B19" s="68" t="str">
        <f>INDEX(Pub_Comps_Data,MATCH(WACC!$C19,Ticker_Range,0),MATCH(WACC!B$11,Pub_Comps_Info_Range,0))</f>
        <v>Air Arabia PJSC</v>
      </c>
      <c r="C19" s="68" t="s">
        <v>262</v>
      </c>
      <c r="D19" s="140">
        <f>INDEX(Pub_Comps_Data,MATCH(WACC!$C19,Ticker_Range,0),MATCH(WACC!D$11,Pub_Comps_Info_Range,0))</f>
        <v>0.67</v>
      </c>
      <c r="E19" s="314">
        <f>INDEX(Pub_Comps_Data,MATCH(WACC!$C19,Ticker_Range,0),MATCH(WACC!E$11,Pub_Comps_Info_Range,0))</f>
        <v>23.334400000000073</v>
      </c>
      <c r="F19" s="141">
        <f t="shared" si="0"/>
        <v>9.3461515015067862E-3</v>
      </c>
      <c r="G19" s="314">
        <f>INDEX(Pub_Comps_Data,MATCH(WACC!$C19,Ticker_Range,0),MATCH(WACC!G$11,Pub_Comps_Info_Range,0))</f>
        <v>0</v>
      </c>
      <c r="H19" s="141">
        <f t="shared" si="0"/>
        <v>0</v>
      </c>
      <c r="I19" s="314">
        <f>INDEX(Pub_Comps_Data,MATCH(WACC!$C19,Ticker_Range,0),MATCH(WACC!I$11,Pub_Comps_Info_Range,0))</f>
        <v>2473.3510000000001</v>
      </c>
      <c r="J19" s="141">
        <f t="shared" si="1"/>
        <v>0.99065384849849314</v>
      </c>
      <c r="K19" s="142">
        <f>INDEX(Pub_Comps_Data,MATCH(WACC!$C19,Ticker_Range,0),MATCH(WACC!K$11,Pub_Comps_Info_Range,0))</f>
        <v>0.09</v>
      </c>
      <c r="L19" s="143">
        <f t="shared" si="2"/>
        <v>0.66429685420771645</v>
      </c>
    </row>
    <row r="20" spans="2:24" ht="15.75" customHeight="1" x14ac:dyDescent="0.2">
      <c r="B20" s="68" t="str">
        <f>INDEX(Pub_Comps_Data,MATCH(WACC!$C20,Ticker_Range,0),MATCH(WACC!B$11,Pub_Comps_Info_Range,0))</f>
        <v>Norwegian Air Shuttle ASA</v>
      </c>
      <c r="C20" s="68" t="s">
        <v>261</v>
      </c>
      <c r="D20" s="140">
        <f>INDEX(Pub_Comps_Data,MATCH(WACC!$C20,Ticker_Range,0),MATCH(WACC!D$11,Pub_Comps_Info_Range,0))</f>
        <v>0.99</v>
      </c>
      <c r="E20" s="314">
        <f>INDEX(Pub_Comps_Data,MATCH(WACC!$C20,Ticker_Range,0),MATCH(WACC!E$11,Pub_Comps_Info_Range,0))</f>
        <v>360.75040000000001</v>
      </c>
      <c r="F20" s="141">
        <f t="shared" si="0"/>
        <v>0.31590724080485461</v>
      </c>
      <c r="G20" s="314">
        <f>INDEX(Pub_Comps_Data,MATCH(WACC!$C20,Ticker_Range,0),MATCH(WACC!G$11,Pub_Comps_Info_Range,0))</f>
        <v>0</v>
      </c>
      <c r="H20" s="141">
        <f t="shared" si="0"/>
        <v>0</v>
      </c>
      <c r="I20" s="314">
        <f>INDEX(Pub_Comps_Data,MATCH(WACC!$C20,Ticker_Range,0),MATCH(WACC!I$11,Pub_Comps_Info_Range,0))</f>
        <v>781.19999999999993</v>
      </c>
      <c r="J20" s="141">
        <f t="shared" si="1"/>
        <v>0.68409275919514545</v>
      </c>
      <c r="K20" s="142">
        <f>INDEX(Pub_Comps_Data,MATCH(WACC!$C20,Ticker_Range,0),MATCH(WACC!K$11,Pub_Comps_Info_Range,0))</f>
        <v>0.22</v>
      </c>
      <c r="L20" s="143">
        <f t="shared" si="2"/>
        <v>0.7278361476165407</v>
      </c>
    </row>
    <row r="21" spans="2:24" ht="15.75" customHeight="1" x14ac:dyDescent="0.2">
      <c r="B21" s="68" t="str">
        <f>INDEX(Pub_Comps_Data,MATCH(WACC!$C21,Ticker_Range,0),MATCH(WACC!B$11,Pub_Comps_Info_Range,0))</f>
        <v>Jazeera Airways K.S.C.P.</v>
      </c>
      <c r="C21" s="68" t="s">
        <v>263</v>
      </c>
      <c r="D21" s="140">
        <f>INDEX(Pub_Comps_Data,MATCH(WACC!$C21,Ticker_Range,0),MATCH(WACC!D$11,Pub_Comps_Info_Range,0))</f>
        <v>0.85</v>
      </c>
      <c r="E21" s="314">
        <f>INDEX(Pub_Comps_Data,MATCH(WACC!$C21,Ticker_Range,0),MATCH(WACC!E$11,Pub_Comps_Info_Range,0))</f>
        <v>60.368399999999951</v>
      </c>
      <c r="F21" s="141">
        <f t="shared" si="0"/>
        <v>4.7768562657524868E-2</v>
      </c>
      <c r="G21" s="314">
        <f>INDEX(Pub_Comps_Data,MATCH(WACC!$C21,Ticker_Range,0),MATCH(WACC!G$11,Pub_Comps_Info_Range,0))</f>
        <v>0</v>
      </c>
      <c r="H21" s="141">
        <f t="shared" si="0"/>
        <v>0</v>
      </c>
      <c r="I21" s="314">
        <f>INDEX(Pub_Comps_Data,MATCH(WACC!$C21,Ticker_Range,0),MATCH(WACC!I$11,Pub_Comps_Info_Range,0))</f>
        <v>1203.3999999999999</v>
      </c>
      <c r="J21" s="141">
        <f t="shared" si="1"/>
        <v>0.95223143734247506</v>
      </c>
      <c r="K21" s="142">
        <f>INDEX(Pub_Comps_Data,MATCH(WACC!$C21,Ticker_Range,0),MATCH(WACC!K$11,Pub_Comps_Info_Range,0))</f>
        <v>0.15</v>
      </c>
      <c r="L21" s="143">
        <f t="shared" si="2"/>
        <v>0.81523813482976681</v>
      </c>
    </row>
    <row r="22" spans="2:24" ht="15.75" customHeight="1" x14ac:dyDescent="0.2">
      <c r="N22" s="30"/>
    </row>
    <row r="23" spans="2:24" ht="15.75" customHeight="1" x14ac:dyDescent="0.2">
      <c r="B23" s="317" t="s">
        <v>288</v>
      </c>
      <c r="C23" s="298"/>
      <c r="D23" s="318">
        <f t="shared" ref="D23:L23" si="3">MEDIAN(D15:D21)</f>
        <v>1.48</v>
      </c>
      <c r="E23" s="319">
        <f t="shared" si="3"/>
        <v>445.98496</v>
      </c>
      <c r="F23" s="320">
        <f t="shared" si="3"/>
        <v>0.2555707751109369</v>
      </c>
      <c r="G23" s="319">
        <f t="shared" si="3"/>
        <v>0</v>
      </c>
      <c r="H23" s="320">
        <f t="shared" si="3"/>
        <v>0</v>
      </c>
      <c r="I23" s="319">
        <f t="shared" si="3"/>
        <v>2100.1954000000001</v>
      </c>
      <c r="J23" s="320">
        <f t="shared" si="3"/>
        <v>0.74442922488906316</v>
      </c>
      <c r="K23" s="321">
        <f t="shared" si="3"/>
        <v>0.15</v>
      </c>
      <c r="L23" s="322">
        <f t="shared" si="3"/>
        <v>1.1565927671873573</v>
      </c>
      <c r="N23" s="30"/>
    </row>
    <row r="24" spans="2:24" ht="15.75" customHeight="1" x14ac:dyDescent="0.2"/>
    <row r="25" spans="2:24" ht="15.75" customHeight="1" x14ac:dyDescent="0.2">
      <c r="B25" s="144" t="str">
        <f>Company_Name</f>
        <v>easyJet plc</v>
      </c>
      <c r="C25" s="145" t="str">
        <f>Ticker</f>
        <v>LSE:EZJ</v>
      </c>
      <c r="D25" s="146">
        <f>Public_Comps!G23</f>
        <v>2.4500000000000002</v>
      </c>
      <c r="E25" s="147"/>
      <c r="F25" s="147"/>
      <c r="G25" s="147"/>
      <c r="H25" s="147"/>
      <c r="I25" s="147"/>
      <c r="J25" s="147"/>
      <c r="K25" s="148"/>
      <c r="L25" s="149"/>
    </row>
    <row r="26" spans="2:24" ht="15.75" customHeight="1" x14ac:dyDescent="0.2"/>
    <row r="27" spans="2:24" ht="15.75" customHeight="1" x14ac:dyDescent="0.2">
      <c r="B27" s="274" t="str">
        <f>TEXT(Company_Name,"")&amp; " - Levered Beta &amp; WACC Calculation:"</f>
        <v>easyJet plc - Levered Beta &amp; WACC Calculation:</v>
      </c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N27" s="30"/>
    </row>
    <row r="28" spans="2:24" ht="15.75" customHeight="1" x14ac:dyDescent="0.2">
      <c r="B28" s="274"/>
      <c r="C28" s="274"/>
      <c r="D28" s="278" t="s">
        <v>278</v>
      </c>
      <c r="E28" s="278"/>
      <c r="F28" s="278"/>
      <c r="G28" s="278" t="s">
        <v>276</v>
      </c>
      <c r="H28" s="278"/>
      <c r="I28" s="278" t="s">
        <v>277</v>
      </c>
      <c r="J28" s="278"/>
      <c r="K28" s="278"/>
      <c r="L28" s="278" t="s">
        <v>275</v>
      </c>
      <c r="N28" s="30"/>
    </row>
    <row r="29" spans="2:24" ht="15.75" customHeight="1" x14ac:dyDescent="0.2">
      <c r="B29" s="280"/>
      <c r="C29" s="280" t="s">
        <v>279</v>
      </c>
      <c r="D29" s="281" t="s">
        <v>280</v>
      </c>
      <c r="E29" s="281" t="s">
        <v>281</v>
      </c>
      <c r="F29" s="281" t="s">
        <v>282</v>
      </c>
      <c r="G29" s="281" t="s">
        <v>283</v>
      </c>
      <c r="H29" s="281" t="s">
        <v>284</v>
      </c>
      <c r="I29" s="281" t="s">
        <v>285</v>
      </c>
      <c r="J29" s="281" t="s">
        <v>286</v>
      </c>
      <c r="K29" s="281" t="s">
        <v>287</v>
      </c>
      <c r="L29" s="281" t="s">
        <v>280</v>
      </c>
      <c r="O29" s="68"/>
      <c r="P29" s="68"/>
      <c r="Q29" s="68"/>
      <c r="R29" s="68"/>
      <c r="S29" s="68"/>
      <c r="T29" s="68"/>
      <c r="U29" s="68"/>
      <c r="V29" s="68"/>
      <c r="W29" s="68"/>
      <c r="X29" s="68"/>
    </row>
    <row r="30" spans="2:24" ht="15.75" customHeight="1" x14ac:dyDescent="0.2">
      <c r="B30" s="104" t="s">
        <v>289</v>
      </c>
      <c r="C30" s="104" t="str">
        <f>Ticker</f>
        <v>LSE:EZJ</v>
      </c>
      <c r="D30" s="150">
        <f>L23</f>
        <v>1.1565927671873573</v>
      </c>
      <c r="E30" s="313">
        <f>INDEX(Pub_Comps_Data,MATCH(WACC!$C30,Ticker_Range,0),MATCH(WACC!E$11,Pub_Comps_Info_Range,0))</f>
        <v>3046</v>
      </c>
      <c r="F30" s="151">
        <f t="shared" ref="F30:J30" si="4">E30/($E30+$G30+$I30)</f>
        <v>0.46969720567170942</v>
      </c>
      <c r="G30" s="313">
        <f>INDEX(Pub_Comps_Data,MATCH(WACC!$C30,Ticker_Range,0),MATCH(WACC!G$11,Pub_Comps_Info_Range,0))</f>
        <v>0</v>
      </c>
      <c r="H30" s="151">
        <f t="shared" si="4"/>
        <v>0</v>
      </c>
      <c r="I30" s="313">
        <f>INDEX(Pub_Comps_Data,MATCH(WACC!$C30,Ticker_Range,0),MATCH(WACC!I$11,Pub_Comps_Info_Range,0))</f>
        <v>3439.0289999999995</v>
      </c>
      <c r="J30" s="151">
        <f t="shared" si="4"/>
        <v>0.53030279432829053</v>
      </c>
      <c r="K30" s="152">
        <f>INDEX(Pub_Comps_Data,MATCH(WACC!$C30,Ticker_Range,0),MATCH(WACC!K$11,Pub_Comps_Info_Range,0))</f>
        <v>0.25</v>
      </c>
      <c r="L30" s="143">
        <f>D30*(1+E30/I30*(1-K30)+G30/I30)</f>
        <v>1.9249015475551641</v>
      </c>
    </row>
    <row r="31" spans="2:24" ht="15.75" customHeight="1" x14ac:dyDescent="0.2">
      <c r="B31" s="68" t="s">
        <v>290</v>
      </c>
      <c r="C31" s="68" t="str">
        <f>Ticker</f>
        <v>LSE:EZJ</v>
      </c>
      <c r="D31" s="153">
        <f>L23</f>
        <v>1.1565927671873573</v>
      </c>
      <c r="E31" s="314">
        <f>($E$30+$G$30+$I$30)*F31</f>
        <v>1657.3838881469035</v>
      </c>
      <c r="F31" s="154">
        <f>1-J31-H31</f>
        <v>0.25557077511093684</v>
      </c>
      <c r="G31" s="314">
        <f>($E$30+$G$30+$I$30)*H31</f>
        <v>0</v>
      </c>
      <c r="H31" s="154">
        <f>H23</f>
        <v>0</v>
      </c>
      <c r="I31" s="314">
        <f>($E$30+$G$30+$I$30)*J31</f>
        <v>4827.6451118530958</v>
      </c>
      <c r="J31" s="154">
        <f>J23</f>
        <v>0.74442922488906316</v>
      </c>
      <c r="K31" s="155">
        <f>INDEX(Pub_Comps_Data,MATCH(WACC!$C31,Ticker_Range,0),MATCH(WACC!K$11,Pub_Comps_Info_Range,0))</f>
        <v>0.25</v>
      </c>
      <c r="L31" s="143">
        <f>D31*(1+E31/I31*(1-K31)+G31/I31)</f>
        <v>1.4543960708276322</v>
      </c>
    </row>
    <row r="32" spans="2:24" ht="15.75" customHeight="1" x14ac:dyDescent="0.2">
      <c r="F32" s="154"/>
    </row>
    <row r="33" spans="2:24" ht="15.75" customHeight="1" x14ac:dyDescent="0.2">
      <c r="B33" s="156" t="s">
        <v>291</v>
      </c>
      <c r="C33" s="157"/>
      <c r="D33" s="157"/>
      <c r="E33" s="157"/>
      <c r="F33" s="157"/>
      <c r="G33" s="157"/>
      <c r="H33" s="157"/>
      <c r="I33" s="157"/>
      <c r="J33" s="157"/>
      <c r="K33" s="157"/>
      <c r="L33" s="158">
        <f>Risk_Free_Rate+Equity_Risk_Premium*L30</f>
        <v>0.17031860059108567</v>
      </c>
    </row>
    <row r="34" spans="2:24" ht="15.75" customHeight="1" x14ac:dyDescent="0.2">
      <c r="B34" s="159" t="s">
        <v>292</v>
      </c>
      <c r="C34" s="160"/>
      <c r="D34" s="160"/>
      <c r="E34" s="160"/>
      <c r="F34" s="160"/>
      <c r="G34" s="160"/>
      <c r="H34" s="160"/>
      <c r="I34" s="160"/>
      <c r="J34" s="160"/>
      <c r="K34" s="160"/>
      <c r="L34" s="161">
        <f>Risk_Free_Rate+Equity_Risk_Premium*L31</f>
        <v>0.13973574460379609</v>
      </c>
      <c r="O34" s="80"/>
    </row>
    <row r="35" spans="2:24" ht="15.75" customHeight="1" x14ac:dyDescent="0.2">
      <c r="B35" s="162" t="s">
        <v>293</v>
      </c>
      <c r="C35" s="163"/>
      <c r="D35" s="163"/>
      <c r="E35" s="163"/>
      <c r="F35" s="163"/>
      <c r="G35" s="163"/>
      <c r="H35" s="163"/>
      <c r="I35" s="163"/>
      <c r="J35" s="163"/>
      <c r="K35" s="163"/>
      <c r="L35" s="164">
        <f>Risk_Free_Rate+Equity_Risk_Premium*D25</f>
        <v>0.20445000000000002</v>
      </c>
    </row>
    <row r="36" spans="2:24" ht="15.75" customHeight="1" x14ac:dyDescent="0.2"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</row>
    <row r="37" spans="2:24" ht="15.75" customHeight="1" x14ac:dyDescent="0.2">
      <c r="B37" s="156" t="s">
        <v>294</v>
      </c>
      <c r="C37" s="157"/>
      <c r="D37" s="157"/>
      <c r="E37" s="157"/>
      <c r="F37" s="157"/>
      <c r="G37" s="157"/>
      <c r="H37" s="157"/>
      <c r="I37" s="157"/>
      <c r="J37" s="157"/>
      <c r="K37" s="157"/>
      <c r="L37" s="165">
        <f>L33*J30+Cost_of_Debt*(1-Tax_Rate)*F30+Cost_of_Preferred*H30</f>
        <v>0.10793407503222588</v>
      </c>
      <c r="N37" s="30"/>
    </row>
    <row r="38" spans="2:24" ht="15.75" customHeight="1" x14ac:dyDescent="0.2">
      <c r="B38" s="159" t="s">
        <v>295</v>
      </c>
      <c r="C38" s="160"/>
      <c r="D38" s="160"/>
      <c r="E38" s="160"/>
      <c r="F38" s="160"/>
      <c r="G38" s="160"/>
      <c r="H38" s="160"/>
      <c r="I38" s="160"/>
      <c r="J38" s="160"/>
      <c r="K38" s="160"/>
      <c r="L38" s="166">
        <f>L34*J31+Cost_of_Debt*(1-Tax_Rate)*F31+Cost_of_Preferred*H31</f>
        <v>0.11360727611136015</v>
      </c>
      <c r="N38" s="30"/>
    </row>
    <row r="39" spans="2:24" ht="15.75" customHeight="1" x14ac:dyDescent="0.2">
      <c r="B39" s="162" t="s">
        <v>296</v>
      </c>
      <c r="C39" s="163"/>
      <c r="D39" s="163"/>
      <c r="E39" s="163"/>
      <c r="F39" s="163"/>
      <c r="G39" s="163"/>
      <c r="H39" s="163"/>
      <c r="I39" s="163"/>
      <c r="J39" s="163"/>
      <c r="K39" s="163"/>
      <c r="L39" s="167">
        <f>L35*J30+Cost_of_Debt*(1-Tax_Rate)*F30+Cost_of_Preferred*H30</f>
        <v>0.12603405151310812</v>
      </c>
    </row>
    <row r="40" spans="2:24" ht="15.75" customHeight="1" x14ac:dyDescent="0.2">
      <c r="N40" s="69"/>
    </row>
    <row r="41" spans="2:24" ht="15.75" customHeight="1" x14ac:dyDescent="0.2">
      <c r="B41" s="144" t="s">
        <v>297</v>
      </c>
      <c r="C41" s="145"/>
      <c r="D41" s="145"/>
      <c r="E41" s="145"/>
      <c r="F41" s="145"/>
      <c r="G41" s="145"/>
      <c r="H41" s="145"/>
      <c r="I41" s="145"/>
      <c r="J41" s="145"/>
      <c r="K41" s="145"/>
      <c r="L41" s="168">
        <f>AVERAGE(L37:L39)</f>
        <v>0.11585846755223139</v>
      </c>
      <c r="N41" s="69"/>
    </row>
    <row r="43" spans="2:24" x14ac:dyDescent="0.2">
      <c r="N43" s="69"/>
      <c r="O43" s="68"/>
      <c r="P43" s="68"/>
      <c r="Q43" s="68"/>
      <c r="R43" s="68"/>
      <c r="S43" s="68"/>
      <c r="T43" s="68"/>
      <c r="U43" s="68"/>
      <c r="V43" s="68"/>
      <c r="W43" s="68"/>
      <c r="X43" s="68"/>
    </row>
    <row r="44" spans="2:24" x14ac:dyDescent="0.2">
      <c r="N44" s="69"/>
      <c r="O44" s="68"/>
      <c r="P44" s="68"/>
      <c r="Q44" s="68"/>
      <c r="R44" s="68"/>
      <c r="S44" s="68"/>
      <c r="T44" s="68"/>
      <c r="U44" s="68"/>
      <c r="V44" s="68"/>
      <c r="W44" s="68"/>
      <c r="X44" s="68"/>
    </row>
    <row r="45" spans="2:24" x14ac:dyDescent="0.2">
      <c r="N45" s="69"/>
      <c r="O45" s="68"/>
      <c r="P45" s="68"/>
      <c r="Q45" s="68"/>
      <c r="R45" s="68"/>
      <c r="S45" s="68"/>
      <c r="T45" s="68"/>
      <c r="U45" s="68"/>
      <c r="V45" s="68"/>
      <c r="W45" s="68"/>
      <c r="X45" s="68"/>
    </row>
    <row r="46" spans="2:24" x14ac:dyDescent="0.2">
      <c r="N46" s="69"/>
      <c r="O46" s="68"/>
      <c r="P46" s="68"/>
      <c r="Q46" s="68"/>
      <c r="R46" s="68"/>
      <c r="S46" s="68"/>
      <c r="T46" s="68"/>
      <c r="U46" s="68"/>
      <c r="V46" s="68"/>
      <c r="W46" s="68"/>
      <c r="X46" s="68"/>
    </row>
    <row r="47" spans="2:24" x14ac:dyDescent="0.2">
      <c r="N47" s="69"/>
      <c r="P47" s="68"/>
      <c r="Q47" s="68"/>
      <c r="R47" s="68"/>
      <c r="S47" s="68"/>
      <c r="T47" s="68"/>
      <c r="U47" s="68"/>
      <c r="V47" s="68"/>
      <c r="W47" s="68"/>
      <c r="X47" s="68"/>
    </row>
    <row r="48" spans="2:24" x14ac:dyDescent="0.2">
      <c r="N48" s="69"/>
      <c r="O48" s="68"/>
      <c r="P48" s="68"/>
      <c r="Q48" s="68"/>
      <c r="R48" s="68"/>
      <c r="S48" s="68"/>
      <c r="T48" s="68"/>
      <c r="U48" s="68"/>
      <c r="V48" s="68"/>
      <c r="W48" s="68"/>
      <c r="X48" s="68"/>
    </row>
    <row r="49" spans="14:24" x14ac:dyDescent="0.2">
      <c r="N49" s="69"/>
      <c r="O49" s="68"/>
      <c r="P49" s="68"/>
      <c r="Q49" s="68"/>
      <c r="R49" s="68"/>
      <c r="S49" s="68"/>
      <c r="T49" s="68"/>
      <c r="U49" s="68"/>
      <c r="V49" s="68"/>
      <c r="W49" s="68"/>
      <c r="X49" s="68"/>
    </row>
    <row r="50" spans="14:24" x14ac:dyDescent="0.2">
      <c r="N50" s="69"/>
      <c r="O50" s="68"/>
      <c r="P50" s="68"/>
      <c r="Q50" s="68"/>
      <c r="R50" s="68"/>
      <c r="S50" s="68"/>
      <c r="T50" s="68"/>
      <c r="U50" s="68"/>
      <c r="V50" s="68"/>
      <c r="W50" s="68"/>
      <c r="X50" s="68"/>
    </row>
    <row r="66" spans="14:14" x14ac:dyDescent="0.2">
      <c r="N66" s="30"/>
    </row>
    <row r="67" spans="14:14" x14ac:dyDescent="0.2">
      <c r="N67" s="30"/>
    </row>
  </sheetData>
  <pageMargins left="0.7" right="0.7" top="0.75" bottom="0.75" header="0.3" footer="0.3"/>
  <pageSetup scale="56" orientation="portrait" horizontalDpi="1200" verticalDpi="1200" r:id="rId1"/>
  <ignoredErrors>
    <ignoredError sqref="G15:G21 I15:I21 F30:I31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AB1C-EE82-49F5-AB73-F62BADEF0947}">
  <sheetPr>
    <pageSetUpPr autoPageBreaks="0"/>
  </sheetPr>
  <dimension ref="A1:AQ79"/>
  <sheetViews>
    <sheetView showGridLines="0" zoomScaleNormal="100" workbookViewId="0">
      <selection activeCell="B2" sqref="B2"/>
    </sheetView>
  </sheetViews>
  <sheetFormatPr baseColWidth="10" defaultColWidth="9.1640625" defaultRowHeight="16" outlineLevelCol="1" x14ac:dyDescent="0.2"/>
  <cols>
    <col min="1" max="1" width="2.6640625" style="30" customWidth="1"/>
    <col min="2" max="2" width="47.83203125" style="30" bestFit="1" customWidth="1"/>
    <col min="3" max="3" width="16.1640625" style="30" hidden="1" customWidth="1" outlineLevel="1"/>
    <col min="4" max="5" width="12.6640625" style="30" hidden="1" customWidth="1" outlineLevel="1"/>
    <col min="6" max="6" width="12.6640625" style="30" customWidth="1" collapsed="1"/>
    <col min="7" max="13" width="12.6640625" style="30" hidden="1" customWidth="1" outlineLevel="1"/>
    <col min="14" max="14" width="12.6640625" style="30" customWidth="1" collapsed="1"/>
    <col min="15" max="23" width="12.6640625" style="30" customWidth="1"/>
    <col min="24" max="24" width="15.5" style="30" bestFit="1" customWidth="1"/>
    <col min="25" max="25" width="14" style="30" bestFit="1" customWidth="1"/>
    <col min="26" max="28" width="12.6640625" style="30" customWidth="1"/>
    <col min="29" max="30" width="2.6640625" style="30" customWidth="1"/>
    <col min="31" max="39" width="12.33203125" style="30" customWidth="1"/>
    <col min="40" max="16384" width="9.1640625" style="30"/>
  </cols>
  <sheetData>
    <row r="1" spans="1:43" x14ac:dyDescent="0.2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</row>
    <row r="2" spans="1:43" ht="17.75" customHeight="1" x14ac:dyDescent="0.25">
      <c r="A2" s="68"/>
      <c r="B2" s="169" t="s">
        <v>298</v>
      </c>
      <c r="C2" s="101"/>
      <c r="D2" s="101"/>
      <c r="E2" s="101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43" x14ac:dyDescent="0.2">
      <c r="A3" s="68"/>
      <c r="B3" s="30" t="s">
        <v>299</v>
      </c>
      <c r="C3" s="68"/>
      <c r="D3" s="101"/>
      <c r="E3" s="101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43" x14ac:dyDescent="0.2">
      <c r="A4" s="68"/>
      <c r="B4" s="170" t="s">
        <v>300</v>
      </c>
      <c r="C4" s="68"/>
      <c r="D4" s="170"/>
      <c r="E4" s="170"/>
      <c r="F4" s="170"/>
      <c r="G4" s="170"/>
      <c r="H4" s="171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68"/>
      <c r="Y4" s="68"/>
      <c r="Z4" s="68"/>
      <c r="AA4" s="68"/>
      <c r="AB4" s="68"/>
    </row>
    <row r="5" spans="1:43" x14ac:dyDescent="0.2">
      <c r="A5" s="68"/>
      <c r="B5" s="170"/>
      <c r="C5" s="68"/>
      <c r="D5" s="170"/>
      <c r="E5" s="170"/>
      <c r="F5" s="170"/>
      <c r="G5" s="170"/>
      <c r="H5" s="171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68"/>
      <c r="Y5" s="68"/>
      <c r="Z5" s="68"/>
      <c r="AA5" s="68"/>
      <c r="AB5" s="68"/>
    </row>
    <row r="6" spans="1:43" x14ac:dyDescent="0.2">
      <c r="A6" s="68"/>
      <c r="B6" s="273" t="s">
        <v>301</v>
      </c>
      <c r="C6" s="274"/>
      <c r="D6" s="274"/>
      <c r="E6" s="274"/>
      <c r="F6" s="275" t="s">
        <v>302</v>
      </c>
      <c r="G6" s="275"/>
      <c r="H6" s="275"/>
      <c r="I6" s="275"/>
      <c r="J6" s="275"/>
      <c r="K6" s="275"/>
      <c r="L6" s="275"/>
      <c r="M6" s="275"/>
      <c r="N6" s="276"/>
      <c r="O6" s="277"/>
      <c r="P6" s="277"/>
      <c r="Q6" s="277"/>
      <c r="R6" s="277"/>
      <c r="S6" s="277"/>
      <c r="T6" s="277"/>
      <c r="U6" s="277"/>
      <c r="V6" s="277"/>
      <c r="W6" s="277"/>
      <c r="X6" s="359" t="s">
        <v>303</v>
      </c>
      <c r="Y6" s="359" t="s">
        <v>303</v>
      </c>
      <c r="Z6" s="275"/>
      <c r="AA6" s="279"/>
      <c r="AB6" s="279"/>
      <c r="AN6" s="68"/>
      <c r="AO6" s="68"/>
    </row>
    <row r="7" spans="1:43" x14ac:dyDescent="0.2">
      <c r="A7" s="68"/>
      <c r="B7" s="277"/>
      <c r="C7" s="277"/>
      <c r="D7" s="278" t="s">
        <v>304</v>
      </c>
      <c r="E7" s="278" t="s">
        <v>305</v>
      </c>
      <c r="F7" s="278" t="s">
        <v>277</v>
      </c>
      <c r="G7" s="278"/>
      <c r="H7" s="278"/>
      <c r="I7" s="278"/>
      <c r="J7" s="278"/>
      <c r="K7" s="278" t="s">
        <v>306</v>
      </c>
      <c r="L7" s="278"/>
      <c r="M7" s="278" t="s">
        <v>307</v>
      </c>
      <c r="N7" s="278" t="s">
        <v>308</v>
      </c>
      <c r="O7" s="275" t="s">
        <v>309</v>
      </c>
      <c r="P7" s="275"/>
      <c r="Q7" s="275"/>
      <c r="R7" s="275" t="s">
        <v>310</v>
      </c>
      <c r="S7" s="275"/>
      <c r="T7" s="275"/>
      <c r="U7" s="275" t="s">
        <v>311</v>
      </c>
      <c r="V7" s="275"/>
      <c r="W7" s="275"/>
      <c r="X7" s="275" t="s">
        <v>309</v>
      </c>
      <c r="Y7" s="275" t="s">
        <v>310</v>
      </c>
      <c r="Z7" s="275" t="s">
        <v>312</v>
      </c>
      <c r="AA7" s="275"/>
      <c r="AB7" s="275"/>
      <c r="AD7" s="69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</row>
    <row r="8" spans="1:43" x14ac:dyDescent="0.2">
      <c r="A8" s="68"/>
      <c r="B8" s="280" t="s">
        <v>313</v>
      </c>
      <c r="C8" s="280" t="s">
        <v>279</v>
      </c>
      <c r="D8" s="281" t="s">
        <v>314</v>
      </c>
      <c r="E8" s="281" t="s">
        <v>315</v>
      </c>
      <c r="F8" s="281" t="s">
        <v>316</v>
      </c>
      <c r="G8" s="281" t="s">
        <v>280</v>
      </c>
      <c r="H8" s="281" t="s">
        <v>287</v>
      </c>
      <c r="I8" s="281" t="s">
        <v>317</v>
      </c>
      <c r="J8" s="281" t="s">
        <v>281</v>
      </c>
      <c r="K8" s="281" t="s">
        <v>318</v>
      </c>
      <c r="L8" s="281" t="s">
        <v>276</v>
      </c>
      <c r="M8" s="281" t="s">
        <v>319</v>
      </c>
      <c r="N8" s="281" t="s">
        <v>285</v>
      </c>
      <c r="O8" s="282" t="str">
        <f>"CY "&amp;TEXT(DCF!H43,"YY")</f>
        <v>CY 22</v>
      </c>
      <c r="P8" s="282" t="str">
        <f>"CY "&amp;TEXT(DCF!I43,"YY")</f>
        <v>CY 23</v>
      </c>
      <c r="Q8" s="282" t="str">
        <f>"CY "&amp;TEXT(DCF!J43,"YY")</f>
        <v>CY 24</v>
      </c>
      <c r="R8" s="282" t="str">
        <f>$O$8</f>
        <v>CY 22</v>
      </c>
      <c r="S8" s="282" t="str">
        <f>$P$8</f>
        <v>CY 23</v>
      </c>
      <c r="T8" s="282" t="str">
        <f>$Q$8</f>
        <v>CY 24</v>
      </c>
      <c r="U8" s="282" t="str">
        <f>$O$8</f>
        <v>CY 22</v>
      </c>
      <c r="V8" s="282" t="str">
        <f>$P$8</f>
        <v>CY 23</v>
      </c>
      <c r="W8" s="282" t="str">
        <f>$Q$8</f>
        <v>CY 24</v>
      </c>
      <c r="X8" s="360" t="s">
        <v>320</v>
      </c>
      <c r="Y8" s="360" t="s">
        <v>320</v>
      </c>
      <c r="Z8" s="282" t="str">
        <f>$O$8</f>
        <v>CY 22</v>
      </c>
      <c r="AA8" s="282" t="str">
        <f>$P$8</f>
        <v>CY 23</v>
      </c>
      <c r="AB8" s="282" t="str">
        <f>$Q$8</f>
        <v>CY 24</v>
      </c>
      <c r="AD8" s="69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</row>
    <row r="9" spans="1:43" x14ac:dyDescent="0.2">
      <c r="A9" s="68"/>
      <c r="B9" s="68" t="s">
        <v>321</v>
      </c>
      <c r="C9" s="68" t="s">
        <v>257</v>
      </c>
      <c r="D9" s="283">
        <v>11.39</v>
      </c>
      <c r="E9" s="102">
        <v>1135.2</v>
      </c>
      <c r="F9" s="284">
        <f t="shared" ref="F9:F15" si="0">D9*E9</f>
        <v>12929.928000000002</v>
      </c>
      <c r="G9" s="172">
        <v>1.48</v>
      </c>
      <c r="H9" s="173">
        <v>0.15</v>
      </c>
      <c r="I9" s="285">
        <v>-4001.3</v>
      </c>
      <c r="J9" s="285">
        <v>4253.5</v>
      </c>
      <c r="K9" s="285">
        <v>113.6</v>
      </c>
      <c r="L9" s="285">
        <v>0</v>
      </c>
      <c r="M9" s="285">
        <v>0</v>
      </c>
      <c r="N9" s="286">
        <f t="shared" ref="N9:N15" si="1">F9+I9+J9+K9+L9+M9</f>
        <v>13295.728000000001</v>
      </c>
      <c r="O9" s="286">
        <f>4154.1*(1/4)+8701.24*(3/4)</f>
        <v>7564.4549999999999</v>
      </c>
      <c r="P9" s="286">
        <f>8701.24*(1/4)+10501.8*(3/4)</f>
        <v>10051.66</v>
      </c>
      <c r="Q9" s="286">
        <f>10501.8*(1/4)+11726.9*(3/4)</f>
        <v>11420.625</v>
      </c>
      <c r="R9" s="286">
        <f>281.5*(1/4)+1936.94*(3/4)</f>
        <v>1523.08</v>
      </c>
      <c r="S9" s="286">
        <f>1936.94*(1/4)+2069.58*(3/4)</f>
        <v>2036.42</v>
      </c>
      <c r="T9" s="286">
        <f>2069.58*(1/4)+2671.16*(3/4)</f>
        <v>2520.7649999999999</v>
      </c>
      <c r="U9" s="286">
        <f>-208.4*(1/4)+1062.92*(3/4)</f>
        <v>745.09</v>
      </c>
      <c r="V9" s="286">
        <f>1062.92*(1/4)+1131.45*(3/4)</f>
        <v>1114.3175000000001</v>
      </c>
      <c r="W9" s="286">
        <f>1131.45*(1/4)+1573.37*(3/4)</f>
        <v>1462.8899999999999</v>
      </c>
      <c r="X9" s="174">
        <f>IFERROR((Q9/O9)^(1/2)-1,"N/A")</f>
        <v>0.22872901557019754</v>
      </c>
      <c r="Y9" s="174">
        <f>IFERROR((T9/R9)^(1/2)-1,"N/A")</f>
        <v>0.28648528314501909</v>
      </c>
      <c r="Z9" s="174">
        <f t="shared" ref="Z9:AB15" si="2">R9/O9</f>
        <v>0.20134695757989174</v>
      </c>
      <c r="AA9" s="174">
        <f t="shared" si="2"/>
        <v>0.20259539220387479</v>
      </c>
      <c r="AB9" s="174">
        <f t="shared" si="2"/>
        <v>0.22072040715810209</v>
      </c>
      <c r="AQ9" s="68"/>
    </row>
    <row r="10" spans="1:43" x14ac:dyDescent="0.2">
      <c r="A10" s="68"/>
      <c r="B10" s="68" t="s">
        <v>322</v>
      </c>
      <c r="C10" s="68" t="s">
        <v>259</v>
      </c>
      <c r="D10" s="175">
        <v>25.32</v>
      </c>
      <c r="E10" s="102">
        <v>103.2</v>
      </c>
      <c r="F10" s="287">
        <f t="shared" si="0"/>
        <v>2613.0239999999999</v>
      </c>
      <c r="G10" s="172">
        <v>1.94</v>
      </c>
      <c r="H10" s="173">
        <v>0.15</v>
      </c>
      <c r="I10" s="289">
        <v>-1052.7</v>
      </c>
      <c r="J10" s="288">
        <v>897.07999999999993</v>
      </c>
      <c r="K10" s="288">
        <v>2533.62</v>
      </c>
      <c r="L10" s="288">
        <v>0</v>
      </c>
      <c r="M10" s="288">
        <v>-13.3</v>
      </c>
      <c r="N10" s="287">
        <f t="shared" si="1"/>
        <v>4977.7239999999993</v>
      </c>
      <c r="O10" s="287">
        <f>1439.3*(1/4)+3401.25*(3/4)</f>
        <v>2910.7624999999998</v>
      </c>
      <c r="P10" s="287">
        <f>3401.25*(1/4)+4576.03*(3/4)</f>
        <v>4282.335</v>
      </c>
      <c r="Q10" s="287">
        <f>4576.03*(1/4)+5611.81*(3/4)</f>
        <v>5352.8649999999998</v>
      </c>
      <c r="R10" s="287">
        <f>-342*(1/4)+262.88*(3/4)</f>
        <v>111.66</v>
      </c>
      <c r="S10" s="287">
        <f>262.88*(1/4)+888.02*(3/4)</f>
        <v>731.73500000000001</v>
      </c>
      <c r="T10" s="287">
        <f>888.02*(1/4)+1242.88*(3/4)</f>
        <v>1154.165</v>
      </c>
      <c r="U10" s="287">
        <f>-546.7*(1/4)-495.32*(3/4)</f>
        <v>-508.16500000000002</v>
      </c>
      <c r="V10" s="287">
        <f>-495.32*(1/4)+233.04*(3/4)</f>
        <v>50.95</v>
      </c>
      <c r="W10" s="287">
        <f>233.04*(1/4)+484.23*(3/4)</f>
        <v>421.4325</v>
      </c>
      <c r="X10" s="174">
        <f t="shared" ref="X10:X15" si="3">IFERROR((Q10/O10)^(1/2)-1,"N/A")</f>
        <v>0.35609389147149018</v>
      </c>
      <c r="Y10" s="174">
        <f t="shared" ref="Y10:Y15" si="4">IFERROR((T10/R10)^(1/2)-1,"N/A")</f>
        <v>2.2150308039012678</v>
      </c>
      <c r="Z10" s="174">
        <f t="shared" si="2"/>
        <v>3.8361082362439396E-2</v>
      </c>
      <c r="AA10" s="174">
        <f t="shared" si="2"/>
        <v>0.1708728999482759</v>
      </c>
      <c r="AB10" s="174">
        <f t="shared" si="2"/>
        <v>0.2156163101441938</v>
      </c>
      <c r="AQ10" s="68"/>
    </row>
    <row r="11" spans="1:43" x14ac:dyDescent="0.2">
      <c r="A11" s="68"/>
      <c r="B11" s="68" t="s">
        <v>323</v>
      </c>
      <c r="C11" s="68" t="s">
        <v>258</v>
      </c>
      <c r="D11" s="175">
        <v>9.782</v>
      </c>
      <c r="E11" s="102">
        <v>214.7</v>
      </c>
      <c r="F11" s="287">
        <f t="shared" si="0"/>
        <v>2100.1954000000001</v>
      </c>
      <c r="G11" s="172">
        <v>2.21</v>
      </c>
      <c r="H11" s="173">
        <v>0.25</v>
      </c>
      <c r="I11" s="289">
        <v>-2228.5</v>
      </c>
      <c r="J11" s="287">
        <f>134.5+857.2</f>
        <v>991.7</v>
      </c>
      <c r="K11" s="287">
        <f>74.8+503.7</f>
        <v>578.5</v>
      </c>
      <c r="L11" s="288">
        <v>0</v>
      </c>
      <c r="M11" s="288">
        <v>0</v>
      </c>
      <c r="N11" s="287">
        <f t="shared" si="1"/>
        <v>1441.8954000000001</v>
      </c>
      <c r="O11" s="287">
        <f>1231.7*(1/4)+4709.88*(3/4)</f>
        <v>3840.335</v>
      </c>
      <c r="P11" s="287">
        <f>4709.88*(1/4)+5214.73*(3/4)</f>
        <v>5088.5174999999999</v>
      </c>
      <c r="Q11" s="287">
        <f>5214.73*(1/4)+5619.64*(3/4)</f>
        <v>5518.4125000000004</v>
      </c>
      <c r="R11" s="287">
        <f>-218.7*(1/4)+536*(3/4)</f>
        <v>347.32499999999999</v>
      </c>
      <c r="S11" s="287">
        <f>536*(1/4)+557.97*(3/4)</f>
        <v>552.47749999999996</v>
      </c>
      <c r="T11" s="287">
        <f>557.97*(1/4)+630.67*(3/4)</f>
        <v>612.49499999999989</v>
      </c>
      <c r="U11" s="287">
        <f>-315.4*(1/4)+227.98*(3/4)</f>
        <v>92.134999999999991</v>
      </c>
      <c r="V11" s="287">
        <f>227.98*(1/4)+230.46*(3/4)</f>
        <v>229.84</v>
      </c>
      <c r="W11" s="287">
        <f>230.46*(1/4)+280.1*(3/4)</f>
        <v>267.69</v>
      </c>
      <c r="X11" s="174">
        <f t="shared" si="3"/>
        <v>0.19873317658385248</v>
      </c>
      <c r="Y11" s="174">
        <f t="shared" si="4"/>
        <v>0.32795467346217344</v>
      </c>
      <c r="Z11" s="174">
        <f t="shared" si="2"/>
        <v>9.0441328686169303E-2</v>
      </c>
      <c r="AA11" s="174">
        <f t="shared" si="2"/>
        <v>0.10857337132082183</v>
      </c>
      <c r="AB11" s="174">
        <f t="shared" si="2"/>
        <v>0.11099115914223517</v>
      </c>
      <c r="AQ11" s="68"/>
    </row>
    <row r="12" spans="1:43" x14ac:dyDescent="0.2">
      <c r="A12" s="68"/>
      <c r="B12" s="68" t="s">
        <v>324</v>
      </c>
      <c r="C12" s="68" t="s">
        <v>262</v>
      </c>
      <c r="D12" s="175">
        <v>0.53</v>
      </c>
      <c r="E12" s="102">
        <v>4666.7</v>
      </c>
      <c r="F12" s="287">
        <f t="shared" si="0"/>
        <v>2473.3510000000001</v>
      </c>
      <c r="G12" s="172">
        <v>0.67</v>
      </c>
      <c r="H12" s="173">
        <v>0.09</v>
      </c>
      <c r="I12" s="289">
        <v>-1025.3</v>
      </c>
      <c r="J12" s="287">
        <f>703.3-K12</f>
        <v>23.334400000000073</v>
      </c>
      <c r="K12" s="288">
        <f>(591.8+2241.39)*0.24</f>
        <v>679.96559999999988</v>
      </c>
      <c r="L12" s="288">
        <v>0</v>
      </c>
      <c r="M12" s="288">
        <v>0</v>
      </c>
      <c r="N12" s="287">
        <f t="shared" si="1"/>
        <v>2151.3510000000001</v>
      </c>
      <c r="O12" s="288">
        <v>1095.82</v>
      </c>
      <c r="P12" s="288">
        <v>1214.0999999999999</v>
      </c>
      <c r="Q12" s="288">
        <v>1259.29</v>
      </c>
      <c r="R12" s="288">
        <v>356.56</v>
      </c>
      <c r="S12" s="288">
        <v>366.08</v>
      </c>
      <c r="T12" s="288">
        <v>380.18</v>
      </c>
      <c r="U12" s="288">
        <v>234.34</v>
      </c>
      <c r="V12" s="288">
        <v>229.93</v>
      </c>
      <c r="W12" s="288">
        <v>236.37</v>
      </c>
      <c r="X12" s="174">
        <f t="shared" si="3"/>
        <v>7.1996249786071553E-2</v>
      </c>
      <c r="Y12" s="174">
        <f t="shared" si="4"/>
        <v>3.2590969546099302E-2</v>
      </c>
      <c r="Z12" s="174">
        <f t="shared" si="2"/>
        <v>0.32538190578744686</v>
      </c>
      <c r="AA12" s="174">
        <f t="shared" si="2"/>
        <v>0.30152376245778767</v>
      </c>
      <c r="AB12" s="174">
        <f t="shared" si="2"/>
        <v>0.30190027714029333</v>
      </c>
      <c r="AQ12" s="68"/>
    </row>
    <row r="13" spans="1:43" x14ac:dyDescent="0.2">
      <c r="A13" s="68"/>
      <c r="B13" s="68" t="s">
        <v>325</v>
      </c>
      <c r="C13" s="68" t="s">
        <v>260</v>
      </c>
      <c r="D13" s="175">
        <v>8.69</v>
      </c>
      <c r="E13" s="102">
        <v>102.3</v>
      </c>
      <c r="F13" s="287">
        <f t="shared" si="0"/>
        <v>888.98699999999997</v>
      </c>
      <c r="G13" s="172">
        <v>1.69</v>
      </c>
      <c r="H13" s="173">
        <v>0.2</v>
      </c>
      <c r="I13" s="289">
        <v>-488.6</v>
      </c>
      <c r="J13" s="288">
        <f>2325.1-K13</f>
        <v>445.98496</v>
      </c>
      <c r="K13" s="287">
        <f>(33012.1+6136.13)*0.048</f>
        <v>1879.1150399999999</v>
      </c>
      <c r="L13" s="288">
        <v>0</v>
      </c>
      <c r="M13" s="288">
        <v>0</v>
      </c>
      <c r="N13" s="287">
        <f t="shared" si="1"/>
        <v>2725.4870000000001</v>
      </c>
      <c r="O13" s="288">
        <v>1628.17</v>
      </c>
      <c r="P13" s="288">
        <v>2412.2199999999998</v>
      </c>
      <c r="Q13" s="288">
        <v>2915.87</v>
      </c>
      <c r="R13" s="288">
        <v>456.19</v>
      </c>
      <c r="S13" s="288">
        <v>755.68</v>
      </c>
      <c r="T13" s="288">
        <v>1038.98</v>
      </c>
      <c r="U13" s="288">
        <v>48.29</v>
      </c>
      <c r="V13" s="288">
        <v>154.96</v>
      </c>
      <c r="W13" s="288">
        <v>490.11</v>
      </c>
      <c r="X13" s="174">
        <f t="shared" si="3"/>
        <v>0.33824060967866387</v>
      </c>
      <c r="Y13" s="174">
        <f t="shared" si="4"/>
        <v>0.50914411084649536</v>
      </c>
      <c r="Z13" s="174">
        <f t="shared" si="2"/>
        <v>0.28018572999133995</v>
      </c>
      <c r="AA13" s="174">
        <f t="shared" si="2"/>
        <v>0.31327159214333683</v>
      </c>
      <c r="AB13" s="174">
        <f t="shared" si="2"/>
        <v>0.35631904028643252</v>
      </c>
      <c r="AQ13" s="68"/>
    </row>
    <row r="14" spans="1:43" x14ac:dyDescent="0.2">
      <c r="A14" s="68"/>
      <c r="B14" s="68" t="s">
        <v>326</v>
      </c>
      <c r="C14" s="68" t="s">
        <v>261</v>
      </c>
      <c r="D14" s="175">
        <v>0.84</v>
      </c>
      <c r="E14" s="102">
        <v>930</v>
      </c>
      <c r="F14" s="287">
        <f t="shared" si="0"/>
        <v>781.19999999999993</v>
      </c>
      <c r="G14" s="172">
        <v>0.99</v>
      </c>
      <c r="H14" s="173">
        <v>0.22</v>
      </c>
      <c r="I14" s="289">
        <v>-649.5</v>
      </c>
      <c r="J14" s="287">
        <f>884.8-K14</f>
        <v>360.75040000000001</v>
      </c>
      <c r="K14" s="287">
        <f>(1103.3+4990.3)*0.086</f>
        <v>524.04959999999994</v>
      </c>
      <c r="L14" s="288">
        <v>0</v>
      </c>
      <c r="M14" s="288">
        <v>0</v>
      </c>
      <c r="N14" s="287">
        <f t="shared" si="1"/>
        <v>1016.4999999999999</v>
      </c>
      <c r="O14" s="288">
        <v>1558.63</v>
      </c>
      <c r="P14" s="288">
        <v>2070.58</v>
      </c>
      <c r="Q14" s="288">
        <v>2295.52</v>
      </c>
      <c r="R14" s="288">
        <v>-23.16</v>
      </c>
      <c r="S14" s="288">
        <v>282.04000000000002</v>
      </c>
      <c r="T14" s="288">
        <v>416.77</v>
      </c>
      <c r="U14" s="288">
        <v>15.01</v>
      </c>
      <c r="V14" s="288">
        <v>42.59</v>
      </c>
      <c r="W14" s="288">
        <v>96.54</v>
      </c>
      <c r="X14" s="174">
        <f t="shared" si="3"/>
        <v>0.21358171663380165</v>
      </c>
      <c r="Y14" s="174" t="str">
        <f t="shared" si="4"/>
        <v>N/A</v>
      </c>
      <c r="Z14" s="174">
        <f t="shared" si="2"/>
        <v>-1.4859203274670704E-2</v>
      </c>
      <c r="AA14" s="174">
        <f t="shared" si="2"/>
        <v>0.1362130417564161</v>
      </c>
      <c r="AB14" s="174">
        <f t="shared" si="2"/>
        <v>0.18155799121767616</v>
      </c>
      <c r="AQ14" s="68"/>
    </row>
    <row r="15" spans="1:43" x14ac:dyDescent="0.2">
      <c r="A15" s="68"/>
      <c r="B15" s="68" t="s">
        <v>327</v>
      </c>
      <c r="C15" s="68" t="s">
        <v>263</v>
      </c>
      <c r="D15" s="175">
        <v>5.47</v>
      </c>
      <c r="E15" s="102">
        <v>220</v>
      </c>
      <c r="F15" s="287">
        <f t="shared" si="0"/>
        <v>1203.3999999999999</v>
      </c>
      <c r="G15" s="172">
        <v>0.85</v>
      </c>
      <c r="H15" s="173">
        <v>0.15</v>
      </c>
      <c r="I15" s="289">
        <v>-124.3</v>
      </c>
      <c r="J15" s="288">
        <f>460.4-K15</f>
        <v>60.368399999999951</v>
      </c>
      <c r="K15" s="287">
        <f>(21.27+121.09)*2.81</f>
        <v>400.03160000000003</v>
      </c>
      <c r="L15" s="288">
        <v>0</v>
      </c>
      <c r="M15" s="288">
        <v>0</v>
      </c>
      <c r="N15" s="287">
        <f t="shared" si="1"/>
        <v>1539.4999999999998</v>
      </c>
      <c r="O15" s="288">
        <v>401.18</v>
      </c>
      <c r="P15" s="288">
        <v>484.55</v>
      </c>
      <c r="Q15" s="288">
        <v>538.03</v>
      </c>
      <c r="R15" s="288">
        <v>116.15</v>
      </c>
      <c r="S15" s="288">
        <v>144.55000000000001</v>
      </c>
      <c r="T15" s="288">
        <v>181.01</v>
      </c>
      <c r="U15" s="288">
        <v>44.89</v>
      </c>
      <c r="V15" s="288">
        <v>66.34</v>
      </c>
      <c r="W15" s="288">
        <v>77.709999999999994</v>
      </c>
      <c r="X15" s="174">
        <f t="shared" si="3"/>
        <v>0.15806679420294456</v>
      </c>
      <c r="Y15" s="174">
        <f t="shared" si="4"/>
        <v>0.2483652676937782</v>
      </c>
      <c r="Z15" s="174">
        <f t="shared" si="2"/>
        <v>0.28952091330574803</v>
      </c>
      <c r="AA15" s="174">
        <f t="shared" si="2"/>
        <v>0.29831802703539367</v>
      </c>
      <c r="AB15" s="174">
        <f t="shared" si="2"/>
        <v>0.33643105403044438</v>
      </c>
      <c r="AQ15" s="68"/>
    </row>
    <row r="16" spans="1:43" x14ac:dyDescent="0.2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O16" s="68"/>
      <c r="AQ16" s="68"/>
    </row>
    <row r="17" spans="1:43" x14ac:dyDescent="0.2">
      <c r="A17" s="68"/>
      <c r="B17" s="176" t="s">
        <v>328</v>
      </c>
      <c r="C17" s="104"/>
      <c r="D17" s="292">
        <f>MAX(D9:D15)</f>
        <v>25.32</v>
      </c>
      <c r="E17" s="177"/>
      <c r="F17" s="293">
        <f>MAX(F9:F15)</f>
        <v>12929.928000000002</v>
      </c>
      <c r="G17" s="294">
        <f>MAX(G9:G15)</f>
        <v>2.21</v>
      </c>
      <c r="H17" s="179"/>
      <c r="I17" s="179"/>
      <c r="J17" s="179"/>
      <c r="K17" s="179"/>
      <c r="L17" s="179"/>
      <c r="M17" s="179"/>
      <c r="N17" s="307">
        <f t="shared" ref="N17:AA17" si="5">MAX(N9:N15)</f>
        <v>13295.728000000001</v>
      </c>
      <c r="O17" s="307">
        <f t="shared" si="5"/>
        <v>7564.4549999999999</v>
      </c>
      <c r="P17" s="307">
        <f t="shared" si="5"/>
        <v>10051.66</v>
      </c>
      <c r="Q17" s="307">
        <f t="shared" ref="Q17" si="6">MAX(Q9:Q15)</f>
        <v>11420.625</v>
      </c>
      <c r="R17" s="307">
        <f t="shared" si="5"/>
        <v>1523.08</v>
      </c>
      <c r="S17" s="307">
        <f t="shared" si="5"/>
        <v>2036.42</v>
      </c>
      <c r="T17" s="307">
        <f t="shared" ref="T17" si="7">MAX(T9:T15)</f>
        <v>2520.7649999999999</v>
      </c>
      <c r="U17" s="307">
        <f t="shared" si="5"/>
        <v>745.09</v>
      </c>
      <c r="V17" s="307">
        <f t="shared" si="5"/>
        <v>1114.3175000000001</v>
      </c>
      <c r="W17" s="307">
        <f t="shared" ref="W17" si="8">MAX(W9:W15)</f>
        <v>1462.8899999999999</v>
      </c>
      <c r="X17" s="180">
        <f t="shared" si="5"/>
        <v>0.35609389147149018</v>
      </c>
      <c r="Y17" s="180">
        <f t="shared" si="5"/>
        <v>2.2150308039012678</v>
      </c>
      <c r="Z17" s="180">
        <f t="shared" si="5"/>
        <v>0.32538190578744686</v>
      </c>
      <c r="AA17" s="180">
        <f t="shared" si="5"/>
        <v>0.31327159214333683</v>
      </c>
      <c r="AB17" s="181">
        <f t="shared" ref="AB17" si="9">MAX(AB9:AB15)</f>
        <v>0.35631904028643252</v>
      </c>
      <c r="AD17" s="69"/>
      <c r="AE17" s="68"/>
      <c r="AF17" s="68"/>
      <c r="AG17" s="68"/>
      <c r="AH17" s="68"/>
      <c r="AI17" s="68"/>
      <c r="AJ17" s="68"/>
      <c r="AK17" s="68"/>
      <c r="AL17" s="68"/>
      <c r="AM17" s="68"/>
      <c r="AO17" s="68"/>
      <c r="AQ17" s="68"/>
    </row>
    <row r="18" spans="1:43" x14ac:dyDescent="0.2">
      <c r="A18" s="68"/>
      <c r="B18" s="182" t="s">
        <v>329</v>
      </c>
      <c r="C18" s="68"/>
      <c r="D18" s="94">
        <f>QUARTILE(D9:D15,3)</f>
        <v>10.586</v>
      </c>
      <c r="E18" s="94"/>
      <c r="F18" s="249">
        <f>QUARTILE(F9:F15,3)</f>
        <v>2543.1875</v>
      </c>
      <c r="G18" s="295">
        <f>QUARTILE(G9:G15,3)</f>
        <v>1.8149999999999999</v>
      </c>
      <c r="H18" s="183"/>
      <c r="I18" s="183"/>
      <c r="J18" s="183"/>
      <c r="K18" s="183"/>
      <c r="L18" s="183"/>
      <c r="M18" s="183"/>
      <c r="N18" s="308">
        <f t="shared" ref="N18:AA18" si="10">QUARTILE(N9:N15,3)</f>
        <v>3851.6054999999997</v>
      </c>
      <c r="O18" s="308">
        <f t="shared" si="10"/>
        <v>3375.5487499999999</v>
      </c>
      <c r="P18" s="308">
        <f t="shared" si="10"/>
        <v>4685.4262500000004</v>
      </c>
      <c r="Q18" s="308">
        <f t="shared" ref="Q18" si="11">QUARTILE(Q9:Q15,3)</f>
        <v>5435.6387500000001</v>
      </c>
      <c r="R18" s="308">
        <f t="shared" si="10"/>
        <v>406.375</v>
      </c>
      <c r="S18" s="308">
        <f t="shared" si="10"/>
        <v>743.70749999999998</v>
      </c>
      <c r="T18" s="308">
        <f t="shared" ref="T18" si="12">QUARTILE(T9:T15,3)</f>
        <v>1096.5725</v>
      </c>
      <c r="U18" s="308">
        <f t="shared" si="10"/>
        <v>163.23750000000001</v>
      </c>
      <c r="V18" s="308">
        <f t="shared" si="10"/>
        <v>229.88499999999999</v>
      </c>
      <c r="W18" s="308">
        <f t="shared" ref="W18" si="13">QUARTILE(W9:W15,3)</f>
        <v>455.77125000000001</v>
      </c>
      <c r="X18" s="174">
        <f t="shared" si="10"/>
        <v>0.2834848126244307</v>
      </c>
      <c r="Y18" s="174">
        <f t="shared" si="10"/>
        <v>0.46384675150041488</v>
      </c>
      <c r="Z18" s="174">
        <f t="shared" si="10"/>
        <v>0.28485332164854399</v>
      </c>
      <c r="AA18" s="174">
        <f t="shared" si="10"/>
        <v>0.29992089474659067</v>
      </c>
      <c r="AB18" s="184">
        <f t="shared" ref="AB18" si="14">QUARTILE(AB9:AB15,3)</f>
        <v>0.31916566558536885</v>
      </c>
      <c r="AD18" s="79"/>
      <c r="AO18" s="68"/>
      <c r="AQ18" s="68"/>
    </row>
    <row r="19" spans="1:43" x14ac:dyDescent="0.2">
      <c r="A19" s="68"/>
      <c r="B19" s="297" t="s">
        <v>330</v>
      </c>
      <c r="C19" s="298"/>
      <c r="D19" s="299">
        <f>MEDIAN(D9:D15)</f>
        <v>8.69</v>
      </c>
      <c r="E19" s="300"/>
      <c r="F19" s="301">
        <f>MEDIAN(F9:F15)</f>
        <v>2100.1954000000001</v>
      </c>
      <c r="G19" s="302">
        <f>MEDIAN(G9:G15)</f>
        <v>1.48</v>
      </c>
      <c r="H19" s="303"/>
      <c r="I19" s="304"/>
      <c r="J19" s="304"/>
      <c r="K19" s="304"/>
      <c r="L19" s="304"/>
      <c r="M19" s="304"/>
      <c r="N19" s="309">
        <f t="shared" ref="N19:AA19" si="15">MEDIAN(N9:N15)</f>
        <v>2151.3510000000001</v>
      </c>
      <c r="O19" s="309">
        <f t="shared" si="15"/>
        <v>1628.17</v>
      </c>
      <c r="P19" s="309">
        <f t="shared" si="15"/>
        <v>2412.2199999999998</v>
      </c>
      <c r="Q19" s="309">
        <f t="shared" ref="Q19" si="16">MEDIAN(Q9:Q15)</f>
        <v>2915.87</v>
      </c>
      <c r="R19" s="309">
        <f t="shared" si="15"/>
        <v>347.32499999999999</v>
      </c>
      <c r="S19" s="309">
        <f t="shared" si="15"/>
        <v>552.47749999999996</v>
      </c>
      <c r="T19" s="309">
        <f t="shared" ref="T19" si="17">MEDIAN(T9:T15)</f>
        <v>612.49499999999989</v>
      </c>
      <c r="U19" s="309">
        <f t="shared" si="15"/>
        <v>48.29</v>
      </c>
      <c r="V19" s="309">
        <f t="shared" si="15"/>
        <v>154.96</v>
      </c>
      <c r="W19" s="309">
        <f t="shared" ref="W19" si="18">MEDIAN(W9:W15)</f>
        <v>267.69</v>
      </c>
      <c r="X19" s="305">
        <f t="shared" si="15"/>
        <v>0.21358171663380165</v>
      </c>
      <c r="Y19" s="305">
        <f t="shared" si="15"/>
        <v>0.30721997830359626</v>
      </c>
      <c r="Z19" s="305">
        <f t="shared" si="15"/>
        <v>0.20134695757989174</v>
      </c>
      <c r="AA19" s="305">
        <f t="shared" si="15"/>
        <v>0.20259539220387479</v>
      </c>
      <c r="AB19" s="306">
        <f t="shared" ref="AB19" si="19">MEDIAN(AB9:AB15)</f>
        <v>0.22072040715810209</v>
      </c>
      <c r="AD19" s="79"/>
      <c r="AO19" s="68"/>
      <c r="AQ19" s="68"/>
    </row>
    <row r="20" spans="1:43" x14ac:dyDescent="0.2">
      <c r="A20" s="68"/>
      <c r="B20" s="182" t="s">
        <v>331</v>
      </c>
      <c r="C20" s="101"/>
      <c r="D20" s="94">
        <f>QUARTILE(D9:D15,1)</f>
        <v>3.1549999999999998</v>
      </c>
      <c r="E20" s="94"/>
      <c r="F20" s="249">
        <f>QUARTILE(F9:F15,1)</f>
        <v>1046.1934999999999</v>
      </c>
      <c r="G20" s="295">
        <f>QUARTILE(G9:G15,1)</f>
        <v>0.91999999999999993</v>
      </c>
      <c r="H20" s="183"/>
      <c r="I20" s="183"/>
      <c r="J20" s="183"/>
      <c r="K20" s="183"/>
      <c r="L20" s="183"/>
      <c r="M20" s="183"/>
      <c r="N20" s="308">
        <f t="shared" ref="N20:AA20" si="20">QUARTILE(N9:N15,1)</f>
        <v>1490.6976999999999</v>
      </c>
      <c r="O20" s="308">
        <f t="shared" si="20"/>
        <v>1327.2249999999999</v>
      </c>
      <c r="P20" s="308">
        <f t="shared" si="20"/>
        <v>1642.34</v>
      </c>
      <c r="Q20" s="308">
        <f t="shared" ref="Q20" si="21">QUARTILE(Q9:Q15,1)</f>
        <v>1777.405</v>
      </c>
      <c r="R20" s="308">
        <f t="shared" si="20"/>
        <v>113.905</v>
      </c>
      <c r="S20" s="308">
        <f t="shared" si="20"/>
        <v>324.06</v>
      </c>
      <c r="T20" s="308">
        <f t="shared" ref="T20" si="22">QUARTILE(T9:T15,1)</f>
        <v>398.47500000000002</v>
      </c>
      <c r="U20" s="308">
        <f t="shared" si="20"/>
        <v>29.950000000000003</v>
      </c>
      <c r="V20" s="308">
        <f t="shared" si="20"/>
        <v>58.645000000000003</v>
      </c>
      <c r="W20" s="308">
        <f t="shared" ref="W20" si="23">QUARTILE(W9:W15,1)</f>
        <v>166.45499999999998</v>
      </c>
      <c r="X20" s="174">
        <f t="shared" si="20"/>
        <v>0.17839998539339852</v>
      </c>
      <c r="Y20" s="174">
        <f t="shared" si="20"/>
        <v>0.25789527155658842</v>
      </c>
      <c r="Z20" s="174">
        <f t="shared" si="20"/>
        <v>6.4401205524304353E-2</v>
      </c>
      <c r="AA20" s="174">
        <f t="shared" si="20"/>
        <v>0.153542970852346</v>
      </c>
      <c r="AB20" s="184">
        <f t="shared" ref="AB20" si="24">QUARTILE(AB9:AB15,1)</f>
        <v>0.19858715068093497</v>
      </c>
      <c r="AO20" s="68"/>
      <c r="AQ20" s="68"/>
    </row>
    <row r="21" spans="1:43" x14ac:dyDescent="0.2">
      <c r="A21" s="68"/>
      <c r="B21" s="185" t="s">
        <v>332</v>
      </c>
      <c r="C21" s="186"/>
      <c r="D21" s="187">
        <f>MIN(D9:D15)</f>
        <v>0.53</v>
      </c>
      <c r="E21" s="187"/>
      <c r="F21" s="251">
        <f>MIN(F9:F15)</f>
        <v>781.19999999999993</v>
      </c>
      <c r="G21" s="296">
        <f>MIN(G9:G15)</f>
        <v>0.67</v>
      </c>
      <c r="H21" s="188"/>
      <c r="I21" s="188"/>
      <c r="J21" s="188"/>
      <c r="K21" s="188"/>
      <c r="L21" s="188"/>
      <c r="M21" s="188"/>
      <c r="N21" s="310">
        <f t="shared" ref="N21:AA21" si="25">MIN(N9:N15)</f>
        <v>1016.4999999999999</v>
      </c>
      <c r="O21" s="310">
        <f t="shared" si="25"/>
        <v>401.18</v>
      </c>
      <c r="P21" s="310">
        <f t="shared" si="25"/>
        <v>484.55</v>
      </c>
      <c r="Q21" s="310">
        <f t="shared" ref="Q21" si="26">MIN(Q9:Q15)</f>
        <v>538.03</v>
      </c>
      <c r="R21" s="310">
        <f t="shared" si="25"/>
        <v>-23.16</v>
      </c>
      <c r="S21" s="310">
        <f t="shared" si="25"/>
        <v>144.55000000000001</v>
      </c>
      <c r="T21" s="310">
        <f t="shared" ref="T21" si="27">MIN(T9:T15)</f>
        <v>181.01</v>
      </c>
      <c r="U21" s="310">
        <f t="shared" si="25"/>
        <v>-508.16500000000002</v>
      </c>
      <c r="V21" s="310">
        <f t="shared" si="25"/>
        <v>42.59</v>
      </c>
      <c r="W21" s="310">
        <f t="shared" ref="W21" si="28">MIN(W9:W15)</f>
        <v>77.709999999999994</v>
      </c>
      <c r="X21" s="189">
        <f t="shared" si="25"/>
        <v>7.1996249786071553E-2</v>
      </c>
      <c r="Y21" s="189">
        <f t="shared" si="25"/>
        <v>3.2590969546099302E-2</v>
      </c>
      <c r="Z21" s="189">
        <f t="shared" si="25"/>
        <v>-1.4859203274670704E-2</v>
      </c>
      <c r="AA21" s="189">
        <f t="shared" si="25"/>
        <v>0.10857337132082183</v>
      </c>
      <c r="AB21" s="190">
        <f t="shared" ref="AB21" si="29">MIN(AB9:AB15)</f>
        <v>0.11099115914223517</v>
      </c>
      <c r="AD21" s="69"/>
      <c r="AE21" s="68"/>
      <c r="AF21" s="68"/>
      <c r="AG21" s="68"/>
      <c r="AH21" s="68"/>
      <c r="AI21" s="68"/>
      <c r="AJ21" s="68"/>
      <c r="AK21" s="68"/>
      <c r="AL21" s="68"/>
      <c r="AM21" s="68"/>
      <c r="AO21" s="68"/>
      <c r="AQ21" s="68"/>
    </row>
    <row r="22" spans="1:43" x14ac:dyDescent="0.2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D22" s="79"/>
      <c r="AO22" s="68"/>
      <c r="AQ22" s="68"/>
    </row>
    <row r="23" spans="1:43" x14ac:dyDescent="0.2">
      <c r="A23" s="68"/>
      <c r="B23" s="144" t="str">
        <f>Company_Name</f>
        <v>easyJet plc</v>
      </c>
      <c r="C23" s="145" t="str">
        <f>Ticker</f>
        <v>LSE:EZJ</v>
      </c>
      <c r="D23" s="290">
        <f>Share_Price</f>
        <v>4.5309999999999997</v>
      </c>
      <c r="E23" s="191">
        <f>Diluted_Shares</f>
        <v>759</v>
      </c>
      <c r="F23" s="291">
        <f>D23*E23</f>
        <v>3439.0289999999995</v>
      </c>
      <c r="G23" s="192">
        <v>2.4500000000000002</v>
      </c>
      <c r="H23" s="193">
        <f>Tax_Rate</f>
        <v>0.25</v>
      </c>
      <c r="I23" s="291">
        <f>DCF!E20</f>
        <v>-3505</v>
      </c>
      <c r="J23" s="291">
        <f>DCF!E22</f>
        <v>3046</v>
      </c>
      <c r="K23" s="291">
        <f>DCF!E24</f>
        <v>1055</v>
      </c>
      <c r="L23" s="291">
        <f>DCF!E23</f>
        <v>0</v>
      </c>
      <c r="M23" s="291">
        <f>DCF!E21+SUM(DCF!E25:E26)</f>
        <v>-608.94246031746025</v>
      </c>
      <c r="N23" s="291">
        <f>F23+I23+J23+K23+L23+M23</f>
        <v>3426.0865396825393</v>
      </c>
      <c r="O23" s="291">
        <f>EZJ!K94*0.5+EZJ!L94+EZJ!M94*0.5</f>
        <v>4538.6711734999999</v>
      </c>
      <c r="P23" s="291">
        <f>EZJ!M94*0.5+EZJ!N94+EZJ!O94*0.5</f>
        <v>6310.6334990999985</v>
      </c>
      <c r="Q23" s="291">
        <f>EZJ!N94*0.5+EZJ!O94+EZJ!P94*0.5</f>
        <v>6940.9992371999979</v>
      </c>
      <c r="R23" s="291">
        <f>EZJ!K97*0.5+EZJ!L97+EZJ!M97*0.5</f>
        <v>314.60379349999965</v>
      </c>
      <c r="S23" s="291">
        <f>EZJ!M97*0.5+EZJ!N97+EZJ!O97*0.5</f>
        <v>715.08269909999899</v>
      </c>
      <c r="T23" s="291">
        <f>EZJ!N97*0.5+EZJ!O97+EZJ!P97*0.5</f>
        <v>853.71558719999894</v>
      </c>
      <c r="U23" s="291">
        <f>EZJ!K114+EZJ!L114*0.5+EZJ!M114*0.5</f>
        <v>-504.72647530652222</v>
      </c>
      <c r="V23" s="291">
        <f>EZJ!M114*0.5+EZJ!N114+EZJ!O114*0.5</f>
        <v>111.90474520725982</v>
      </c>
      <c r="W23" s="291">
        <f>EZJ!N114*0.5+EZJ!O114+EZJ!P114*0.5</f>
        <v>199.93359776866927</v>
      </c>
      <c r="X23" s="195">
        <f t="shared" ref="X23" si="30">IFERROR((Q23/O23)^(1/2)-1,"N/A")</f>
        <v>0.2366495354946756</v>
      </c>
      <c r="Y23" s="195">
        <f t="shared" ref="Y23" si="31">IFERROR((T23/R23)^(1/2)-1,"N/A")</f>
        <v>0.64730731863409896</v>
      </c>
      <c r="Z23" s="195">
        <f>R23/O23</f>
        <v>6.9316278151385149E-2</v>
      </c>
      <c r="AA23" s="195">
        <f>S23/P23</f>
        <v>0.11331393261896475</v>
      </c>
      <c r="AB23" s="349"/>
      <c r="AD23" s="79"/>
      <c r="AO23" s="68"/>
      <c r="AQ23" s="68"/>
    </row>
    <row r="24" spans="1:43" x14ac:dyDescent="0.2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D24" s="79"/>
      <c r="AO24" s="68"/>
      <c r="AQ24" s="68"/>
    </row>
    <row r="25" spans="1:43" x14ac:dyDescent="0.2">
      <c r="A25" s="68"/>
      <c r="B25" s="274" t="s">
        <v>333</v>
      </c>
      <c r="C25" s="274"/>
      <c r="D25" s="274"/>
      <c r="E25" s="274"/>
      <c r="F25" s="275" t="s">
        <v>302</v>
      </c>
      <c r="G25" s="275"/>
      <c r="H25" s="275"/>
      <c r="I25" s="275"/>
      <c r="J25" s="275"/>
      <c r="K25" s="275"/>
      <c r="L25" s="275"/>
      <c r="M25" s="275"/>
      <c r="N25" s="276"/>
      <c r="O25" s="275" t="s">
        <v>334</v>
      </c>
      <c r="P25" s="276"/>
      <c r="Q25" s="276"/>
      <c r="R25" s="275" t="s">
        <v>334</v>
      </c>
      <c r="S25" s="276"/>
      <c r="T25" s="276"/>
      <c r="U25" s="277"/>
      <c r="V25" s="277"/>
      <c r="W25" s="277"/>
      <c r="X25" s="68"/>
      <c r="Y25" s="68"/>
      <c r="Z25" s="68"/>
      <c r="AA25" s="68"/>
      <c r="AB25" s="68"/>
      <c r="AD25" s="69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Q25" s="68"/>
    </row>
    <row r="26" spans="1:43" x14ac:dyDescent="0.2">
      <c r="A26" s="68"/>
      <c r="B26" s="277"/>
      <c r="C26" s="277"/>
      <c r="D26" s="278"/>
      <c r="E26" s="278"/>
      <c r="F26" s="278" t="s">
        <v>277</v>
      </c>
      <c r="G26" s="278"/>
      <c r="H26" s="278"/>
      <c r="I26" s="278"/>
      <c r="J26" s="278"/>
      <c r="K26" s="278"/>
      <c r="L26" s="278"/>
      <c r="M26" s="278"/>
      <c r="N26" s="278" t="s">
        <v>308</v>
      </c>
      <c r="O26" s="275" t="s">
        <v>309</v>
      </c>
      <c r="P26" s="276"/>
      <c r="Q26" s="276"/>
      <c r="R26" s="275" t="s">
        <v>310</v>
      </c>
      <c r="S26" s="279"/>
      <c r="T26" s="279"/>
      <c r="U26" s="275" t="s">
        <v>335</v>
      </c>
      <c r="V26" s="275"/>
      <c r="W26" s="275"/>
      <c r="X26" s="196"/>
      <c r="Y26" s="196"/>
      <c r="Z26" s="196"/>
      <c r="AA26" s="68"/>
      <c r="AB26" s="68"/>
      <c r="AN26" s="68"/>
      <c r="AO26" s="68"/>
      <c r="AQ26" s="68"/>
    </row>
    <row r="27" spans="1:43" x14ac:dyDescent="0.2">
      <c r="A27" s="68"/>
      <c r="B27" s="280" t="s">
        <v>313</v>
      </c>
      <c r="C27" s="280"/>
      <c r="D27" s="281"/>
      <c r="E27" s="281"/>
      <c r="F27" s="281" t="s">
        <v>285</v>
      </c>
      <c r="G27" s="281"/>
      <c r="H27" s="281"/>
      <c r="I27" s="281"/>
      <c r="J27" s="281"/>
      <c r="K27" s="281"/>
      <c r="L27" s="281"/>
      <c r="M27" s="281"/>
      <c r="N27" s="281" t="s">
        <v>285</v>
      </c>
      <c r="O27" s="282" t="str">
        <f>$O$8</f>
        <v>CY 22</v>
      </c>
      <c r="P27" s="282" t="str">
        <f>$P$8</f>
        <v>CY 23</v>
      </c>
      <c r="Q27" s="282" t="str">
        <f>$Q$8</f>
        <v>CY 24</v>
      </c>
      <c r="R27" s="282" t="str">
        <f>$O$8</f>
        <v>CY 22</v>
      </c>
      <c r="S27" s="282" t="str">
        <f>$P$8</f>
        <v>CY 23</v>
      </c>
      <c r="T27" s="282" t="str">
        <f>$Q$8</f>
        <v>CY 24</v>
      </c>
      <c r="U27" s="282" t="str">
        <f>$O$8</f>
        <v>CY 22</v>
      </c>
      <c r="V27" s="282" t="str">
        <f>$P$8</f>
        <v>CY 23</v>
      </c>
      <c r="W27" s="282" t="str">
        <f>$Q$8</f>
        <v>CY 24</v>
      </c>
      <c r="X27" s="197"/>
      <c r="Y27" s="197"/>
      <c r="Z27" s="197"/>
      <c r="AA27" s="68"/>
      <c r="AB27" s="68"/>
      <c r="AD27" s="69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Q27" s="68"/>
    </row>
    <row r="28" spans="1:43" x14ac:dyDescent="0.2">
      <c r="A28" s="68"/>
      <c r="B28" s="68" t="str">
        <f t="shared" ref="B28:C31" si="32">B9</f>
        <v>Ryanair Holdings plc</v>
      </c>
      <c r="C28" s="68" t="str">
        <f t="shared" si="32"/>
        <v>ISE:RYA</v>
      </c>
      <c r="D28" s="198"/>
      <c r="E28" s="102"/>
      <c r="F28" s="284">
        <f>F9</f>
        <v>12929.928000000002</v>
      </c>
      <c r="G28" s="199"/>
      <c r="H28" s="199"/>
      <c r="I28" s="200"/>
      <c r="J28" s="200"/>
      <c r="K28" s="200"/>
      <c r="L28" s="200"/>
      <c r="M28" s="200"/>
      <c r="N28" s="286">
        <f>N9</f>
        <v>13295.728000000001</v>
      </c>
      <c r="O28" s="82">
        <f t="shared" ref="O28:S31" si="33">IFERROR(IF(OR(+$N9/O9&lt;0,+$N9/O9&gt;=100),"NM",+$N9/O9),"N/A")</f>
        <v>1.7576584168985077</v>
      </c>
      <c r="P28" s="82">
        <f t="shared" si="33"/>
        <v>1.3227395276004164</v>
      </c>
      <c r="Q28" s="82">
        <f t="shared" ref="Q28" si="34">IFERROR(IF(OR(+$N9/Q9&lt;0,+$N9/Q9&gt;=100),"NM",+$N9/Q9),"N/A")</f>
        <v>1.1641856728506541</v>
      </c>
      <c r="R28" s="82">
        <f t="shared" si="33"/>
        <v>8.7295007484833373</v>
      </c>
      <c r="S28" s="82">
        <f t="shared" si="33"/>
        <v>6.5289714302550559</v>
      </c>
      <c r="T28" s="82">
        <f t="shared" ref="T28" si="35">IFERROR(IF(OR(+$N9/T9&lt;0,+$N9/T9&gt;=100),"NM",+$N9/T9),"N/A")</f>
        <v>5.2744813578417666</v>
      </c>
      <c r="U28" s="82">
        <f t="shared" ref="U28:V31" si="36">IFERROR(IF(OR(+$F9/U9&lt;0,+$F9/U9&gt;=100),"NM",+$F9/U9),"N/A")</f>
        <v>17.353511656309976</v>
      </c>
      <c r="V28" s="82">
        <f t="shared" si="36"/>
        <v>11.603450542596702</v>
      </c>
      <c r="W28" s="82">
        <f t="shared" ref="W28" si="37">IFERROR(IF(OR(+$F9/W9&lt;0,+$F9/W9&gt;=100),"NM",+$F9/W9),"N/A")</f>
        <v>8.8386194450710605</v>
      </c>
      <c r="X28" s="68"/>
      <c r="Y28" s="68"/>
      <c r="Z28" s="68"/>
      <c r="AA28" s="68"/>
      <c r="AB28" s="68"/>
      <c r="AD28" s="69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Q28" s="68"/>
    </row>
    <row r="29" spans="1:43" x14ac:dyDescent="0.2">
      <c r="A29" s="68"/>
      <c r="B29" s="68" t="str">
        <f t="shared" si="32"/>
        <v>Wizz Air Holdings Plc</v>
      </c>
      <c r="C29" s="68" t="str">
        <f t="shared" si="32"/>
        <v>LSE:WIZZ</v>
      </c>
      <c r="D29" s="175"/>
      <c r="E29" s="102"/>
      <c r="F29" s="287">
        <f>F10</f>
        <v>2613.0239999999999</v>
      </c>
      <c r="G29" s="103"/>
      <c r="H29" s="103"/>
      <c r="I29" s="102"/>
      <c r="J29" s="102"/>
      <c r="K29" s="102"/>
      <c r="L29" s="102"/>
      <c r="M29" s="102"/>
      <c r="N29" s="287">
        <f>N10</f>
        <v>4977.7239999999993</v>
      </c>
      <c r="O29" s="82">
        <f t="shared" si="33"/>
        <v>1.710109979773341</v>
      </c>
      <c r="P29" s="82">
        <f t="shared" si="33"/>
        <v>1.1623854742798028</v>
      </c>
      <c r="Q29" s="82">
        <f t="shared" ref="Q29" si="38">IFERROR(IF(OR(+$N10/Q10&lt;0,+$N10/Q10&gt;=100),"NM",+$N10/Q10),"N/A")</f>
        <v>0.92991771696091707</v>
      </c>
      <c r="R29" s="82">
        <f t="shared" si="33"/>
        <v>44.579294286226038</v>
      </c>
      <c r="S29" s="82">
        <f t="shared" si="33"/>
        <v>6.8026321004188661</v>
      </c>
      <c r="T29" s="82">
        <f t="shared" ref="T29" si="39">IFERROR(IF(OR(+$N10/T10&lt;0,+$N10/T10&gt;=100),"NM",+$N10/T10),"N/A")</f>
        <v>4.3128356864053226</v>
      </c>
      <c r="U29" s="82" t="str">
        <f t="shared" si="36"/>
        <v>NM</v>
      </c>
      <c r="V29" s="82">
        <f t="shared" si="36"/>
        <v>51.286045142296366</v>
      </c>
      <c r="W29" s="82">
        <f t="shared" ref="W29" si="40">IFERROR(IF(OR(+$F10/W10&lt;0,+$F10/W10&gt;=100),"NM",+$F10/W10),"N/A")</f>
        <v>6.2003381324411375</v>
      </c>
      <c r="X29" s="68"/>
      <c r="Y29" s="68"/>
      <c r="Z29" s="68"/>
      <c r="AA29" s="68"/>
      <c r="AB29" s="68"/>
      <c r="AD29" s="69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Q29" s="68"/>
    </row>
    <row r="30" spans="1:43" x14ac:dyDescent="0.2">
      <c r="A30" s="68"/>
      <c r="B30" s="68" t="str">
        <f t="shared" si="32"/>
        <v>Jet2 plc</v>
      </c>
      <c r="C30" s="68" t="str">
        <f t="shared" si="32"/>
        <v>AIM:JET2</v>
      </c>
      <c r="D30" s="175"/>
      <c r="E30" s="102"/>
      <c r="F30" s="287">
        <f>F11</f>
        <v>2100.1954000000001</v>
      </c>
      <c r="G30" s="103"/>
      <c r="H30" s="103"/>
      <c r="I30" s="102"/>
      <c r="J30" s="102"/>
      <c r="K30" s="102"/>
      <c r="L30" s="102"/>
      <c r="M30" s="102"/>
      <c r="N30" s="287">
        <f>N11</f>
        <v>1441.8954000000001</v>
      </c>
      <c r="O30" s="82">
        <f t="shared" si="33"/>
        <v>0.37546083870287361</v>
      </c>
      <c r="P30" s="82">
        <f t="shared" si="33"/>
        <v>0.28336257072909743</v>
      </c>
      <c r="Q30" s="82">
        <f t="shared" ref="Q30" si="41">IFERROR(IF(OR(+$N11/Q11&lt;0,+$N11/Q11&gt;=100),"NM",+$N11/Q11),"N/A")</f>
        <v>0.26128807877265425</v>
      </c>
      <c r="R30" s="82">
        <f t="shared" si="33"/>
        <v>4.1514299287410932</v>
      </c>
      <c r="S30" s="82">
        <f t="shared" si="33"/>
        <v>2.6098717142327068</v>
      </c>
      <c r="T30" s="82">
        <f t="shared" ref="T30" si="42">IFERROR(IF(OR(+$N11/T11&lt;0,+$N11/T11&gt;=100),"NM",+$N11/T11),"N/A")</f>
        <v>2.354134156197194</v>
      </c>
      <c r="U30" s="82">
        <f t="shared" si="36"/>
        <v>22.794762033971892</v>
      </c>
      <c r="V30" s="82">
        <f t="shared" si="36"/>
        <v>9.1376409676296557</v>
      </c>
      <c r="W30" s="82">
        <f t="shared" ref="W30" si="43">IFERROR(IF(OR(+$F11/W11&lt;0,+$F11/W11&gt;=100),"NM",+$F11/W11),"N/A")</f>
        <v>7.8456251634353169</v>
      </c>
      <c r="X30" s="68"/>
      <c r="Y30" s="68"/>
      <c r="Z30" s="68"/>
      <c r="AA30" s="68"/>
      <c r="AB30" s="68"/>
      <c r="AD30" s="69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Q30" s="68"/>
    </row>
    <row r="31" spans="1:43" x14ac:dyDescent="0.2">
      <c r="A31" s="68"/>
      <c r="B31" s="68" t="str">
        <f t="shared" si="32"/>
        <v>Air Arabia PJSC</v>
      </c>
      <c r="C31" s="68" t="str">
        <f t="shared" si="32"/>
        <v>DFM:AIRARABIA</v>
      </c>
      <c r="D31" s="175"/>
      <c r="E31" s="102"/>
      <c r="F31" s="287">
        <f>F12</f>
        <v>2473.3510000000001</v>
      </c>
      <c r="G31" s="103"/>
      <c r="H31" s="103"/>
      <c r="I31" s="102"/>
      <c r="J31" s="102"/>
      <c r="K31" s="102"/>
      <c r="L31" s="102"/>
      <c r="M31" s="102"/>
      <c r="N31" s="287">
        <f>N12</f>
        <v>2151.3510000000001</v>
      </c>
      <c r="O31" s="82">
        <f t="shared" si="33"/>
        <v>1.9632339252796995</v>
      </c>
      <c r="P31" s="82">
        <f t="shared" si="33"/>
        <v>1.7719718309859158</v>
      </c>
      <c r="Q31" s="82">
        <f t="shared" ref="Q31" si="44">IFERROR(IF(OR(+$N12/Q12&lt;0,+$N12/Q12&gt;=100),"NM",+$N12/Q12),"N/A")</f>
        <v>1.7083840894472284</v>
      </c>
      <c r="R31" s="82">
        <f t="shared" si="33"/>
        <v>6.0336296836437064</v>
      </c>
      <c r="S31" s="82">
        <f t="shared" si="33"/>
        <v>5.8767236669580427</v>
      </c>
      <c r="T31" s="82">
        <f t="shared" ref="T31" si="45">IFERROR(IF(OR(+$N12/T12&lt;0,+$N12/T12&gt;=100),"NM",+$N12/T12),"N/A")</f>
        <v>5.6587695302225267</v>
      </c>
      <c r="U31" s="82">
        <f t="shared" si="36"/>
        <v>10.554540411368098</v>
      </c>
      <c r="V31" s="82">
        <f t="shared" si="36"/>
        <v>10.756973861610055</v>
      </c>
      <c r="W31" s="82">
        <f t="shared" ref="W31" si="46">IFERROR(IF(OR(+$F12/W12&lt;0,+$F12/W12&gt;=100),"NM",+$F12/W12),"N/A")</f>
        <v>10.463895587426492</v>
      </c>
      <c r="X31" s="68"/>
      <c r="Y31" s="68"/>
      <c r="Z31" s="68"/>
      <c r="AA31" s="68"/>
      <c r="AB31" s="68"/>
      <c r="AD31" s="69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Q31" s="68"/>
    </row>
    <row r="32" spans="1:43" x14ac:dyDescent="0.2">
      <c r="A32" s="68"/>
      <c r="B32" s="68" t="str">
        <f t="shared" ref="B32:C32" si="47">B13</f>
        <v>Pegasus Hava Tasimaciligi Anonim Sirketi</v>
      </c>
      <c r="C32" s="68" t="str">
        <f t="shared" si="47"/>
        <v>IBSE:PGSUS</v>
      </c>
      <c r="D32" s="175"/>
      <c r="E32" s="102"/>
      <c r="F32" s="287">
        <f t="shared" ref="F32" si="48">F13</f>
        <v>888.98699999999997</v>
      </c>
      <c r="G32" s="103"/>
      <c r="H32" s="103"/>
      <c r="I32" s="102"/>
      <c r="J32" s="102"/>
      <c r="K32" s="102"/>
      <c r="L32" s="102"/>
      <c r="M32" s="102"/>
      <c r="N32" s="287">
        <f t="shared" ref="N32" si="49">N13</f>
        <v>2725.4870000000001</v>
      </c>
      <c r="O32" s="82">
        <f t="shared" ref="O32:S32" si="50">IFERROR(IF(OR(+$N13/O13&lt;0,+$N13/O13&gt;=100),"NM",+$N13/O13),"N/A")</f>
        <v>1.6739572649047703</v>
      </c>
      <c r="P32" s="82">
        <f t="shared" si="50"/>
        <v>1.1298666788269729</v>
      </c>
      <c r="Q32" s="82">
        <f t="shared" ref="Q32" si="51">IFERROR(IF(OR(+$N13/Q13&lt;0,+$N13/Q13&gt;=100),"NM",+$N13/Q13),"N/A")</f>
        <v>0.93470799452650499</v>
      </c>
      <c r="R32" s="82">
        <f t="shared" si="50"/>
        <v>5.9744558188474102</v>
      </c>
      <c r="S32" s="82">
        <f t="shared" si="50"/>
        <v>3.6066681664196487</v>
      </c>
      <c r="T32" s="82">
        <f t="shared" ref="T32" si="52">IFERROR(IF(OR(+$N13/T13&lt;0,+$N13/T13&gt;=100),"NM",+$N13/T13),"N/A")</f>
        <v>2.6232333634911162</v>
      </c>
      <c r="U32" s="82">
        <f t="shared" ref="U32:V32" si="53">IFERROR(IF(OR(+$F13/U13&lt;0,+$F13/U13&gt;=100),"NM",+$F13/U13),"N/A")</f>
        <v>18.409339407744874</v>
      </c>
      <c r="V32" s="82">
        <f t="shared" si="53"/>
        <v>5.7368804852865249</v>
      </c>
      <c r="W32" s="82">
        <f t="shared" ref="W32" si="54">IFERROR(IF(OR(+$F13/W13&lt;0,+$F13/W13&gt;=100),"NM",+$F13/W13),"N/A")</f>
        <v>1.8138519924098671</v>
      </c>
      <c r="X32" s="68"/>
      <c r="Y32" s="68"/>
      <c r="Z32" s="68"/>
      <c r="AA32" s="68"/>
      <c r="AB32" s="68"/>
      <c r="AD32" s="69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Q32" s="68"/>
    </row>
    <row r="33" spans="1:43" x14ac:dyDescent="0.2">
      <c r="A33" s="68"/>
      <c r="B33" s="68" t="str">
        <f>B14</f>
        <v>Norwegian Air Shuttle ASA</v>
      </c>
      <c r="C33" s="68" t="str">
        <f>C14</f>
        <v>OB:NAS</v>
      </c>
      <c r="D33" s="175"/>
      <c r="E33" s="102"/>
      <c r="F33" s="287">
        <f>F14</f>
        <v>781.19999999999993</v>
      </c>
      <c r="G33" s="103"/>
      <c r="H33" s="103"/>
      <c r="I33" s="102"/>
      <c r="J33" s="102"/>
      <c r="K33" s="102"/>
      <c r="L33" s="102"/>
      <c r="M33" s="102"/>
      <c r="N33" s="287">
        <f>N14</f>
        <v>1016.4999999999999</v>
      </c>
      <c r="O33" s="82">
        <f t="shared" ref="O33:S34" si="55">IFERROR(IF(OR(+$N14/O14&lt;0,+$N14/O14&gt;=100),"NM",+$N14/O14),"N/A")</f>
        <v>0.65217530780236477</v>
      </c>
      <c r="P33" s="82">
        <f t="shared" si="55"/>
        <v>0.49092524799814541</v>
      </c>
      <c r="Q33" s="82">
        <f t="shared" ref="Q33" si="56">IFERROR(IF(OR(+$N14/Q14&lt;0,+$N14/Q14&gt;=100),"NM",+$N14/Q14),"N/A")</f>
        <v>0.44281905624869305</v>
      </c>
      <c r="R33" s="82" t="str">
        <f t="shared" si="55"/>
        <v>NM</v>
      </c>
      <c r="S33" s="82">
        <f t="shared" si="55"/>
        <v>3.6040987094029209</v>
      </c>
      <c r="T33" s="82">
        <f t="shared" ref="T33" si="57">IFERROR(IF(OR(+$N14/T14&lt;0,+$N14/T14&gt;=100),"NM",+$N14/T14),"N/A")</f>
        <v>2.4389951292079561</v>
      </c>
      <c r="U33" s="82">
        <f t="shared" ref="U33:V34" si="58">IFERROR(IF(OR(+$F14/U14&lt;0,+$F14/U14&gt;=100),"NM",+$F14/U14),"N/A")</f>
        <v>52.045303131245831</v>
      </c>
      <c r="V33" s="82">
        <f t="shared" si="58"/>
        <v>18.342333881192765</v>
      </c>
      <c r="W33" s="82">
        <f t="shared" ref="W33" si="59">IFERROR(IF(OR(+$F14/W14&lt;0,+$F14/W14&gt;=100),"NM",+$F14/W14),"N/A")</f>
        <v>8.0919825978868847</v>
      </c>
      <c r="X33" s="68"/>
      <c r="Y33" s="68"/>
      <c r="Z33" s="68"/>
      <c r="AA33" s="68"/>
      <c r="AB33" s="68"/>
      <c r="AD33" s="69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Q33" s="68"/>
    </row>
    <row r="34" spans="1:43" x14ac:dyDescent="0.2">
      <c r="A34" s="68"/>
      <c r="B34" s="68" t="str">
        <f>B15</f>
        <v>Jazeera Airways K.S.C.P.</v>
      </c>
      <c r="C34" s="68" t="str">
        <f>C15</f>
        <v>KWSE:JAZEERA</v>
      </c>
      <c r="D34" s="175"/>
      <c r="E34" s="102"/>
      <c r="F34" s="287">
        <f>F15</f>
        <v>1203.3999999999999</v>
      </c>
      <c r="G34" s="103"/>
      <c r="H34" s="103"/>
      <c r="I34" s="102"/>
      <c r="J34" s="102"/>
      <c r="K34" s="102"/>
      <c r="L34" s="102"/>
      <c r="M34" s="102"/>
      <c r="N34" s="287">
        <f>N15</f>
        <v>1539.4999999999998</v>
      </c>
      <c r="O34" s="82">
        <f t="shared" si="55"/>
        <v>3.8374295827309433</v>
      </c>
      <c r="P34" s="82">
        <f t="shared" si="55"/>
        <v>3.1771746981735625</v>
      </c>
      <c r="Q34" s="82">
        <f t="shared" ref="Q34" si="60">IFERROR(IF(OR(+$N15/Q15&lt;0,+$N15/Q15&gt;=100),"NM",+$N15/Q15),"N/A")</f>
        <v>2.8613646079214909</v>
      </c>
      <c r="R34" s="82">
        <f t="shared" si="55"/>
        <v>13.254412397761513</v>
      </c>
      <c r="S34" s="82">
        <f t="shared" si="55"/>
        <v>10.650294015911447</v>
      </c>
      <c r="T34" s="82">
        <f t="shared" ref="T34" si="61">IFERROR(IF(OR(+$N15/T15&lt;0,+$N15/T15&gt;=100),"NM",+$N15/T15),"N/A")</f>
        <v>8.5050549693387101</v>
      </c>
      <c r="U34" s="82">
        <f t="shared" si="58"/>
        <v>26.807752283359321</v>
      </c>
      <c r="V34" s="82">
        <f t="shared" si="58"/>
        <v>18.13988543864938</v>
      </c>
      <c r="W34" s="82">
        <f t="shared" ref="W34" si="62">IFERROR(IF(OR(+$F15/W15&lt;0,+$F15/W15&gt;=100),"NM",+$F15/W15),"N/A")</f>
        <v>15.485780465834512</v>
      </c>
      <c r="X34" s="68"/>
      <c r="Y34" s="68"/>
      <c r="Z34" s="68"/>
      <c r="AA34" s="68"/>
      <c r="AB34" s="68"/>
      <c r="AD34" s="69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Q34" s="68"/>
    </row>
    <row r="35" spans="1:43" x14ac:dyDescent="0.2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Q35" s="68"/>
    </row>
    <row r="36" spans="1:43" x14ac:dyDescent="0.2">
      <c r="A36" s="68"/>
      <c r="B36" s="176" t="s">
        <v>328</v>
      </c>
      <c r="C36" s="104"/>
      <c r="D36" s="177"/>
      <c r="E36" s="177"/>
      <c r="F36" s="293">
        <f>MAX(F28:F34)</f>
        <v>12929.928000000002</v>
      </c>
      <c r="G36" s="178"/>
      <c r="H36" s="178"/>
      <c r="I36" s="178"/>
      <c r="J36" s="178"/>
      <c r="K36" s="178"/>
      <c r="L36" s="178"/>
      <c r="M36" s="178"/>
      <c r="N36" s="307">
        <f t="shared" ref="N36:V36" si="63">MAX(N28:N34)</f>
        <v>13295.728000000001</v>
      </c>
      <c r="O36" s="201">
        <f t="shared" si="63"/>
        <v>3.8374295827309433</v>
      </c>
      <c r="P36" s="201">
        <f t="shared" si="63"/>
        <v>3.1771746981735625</v>
      </c>
      <c r="Q36" s="201">
        <f t="shared" ref="Q36" si="64">MAX(Q28:Q34)</f>
        <v>2.8613646079214909</v>
      </c>
      <c r="R36" s="201">
        <f t="shared" si="63"/>
        <v>44.579294286226038</v>
      </c>
      <c r="S36" s="201">
        <f t="shared" si="63"/>
        <v>10.650294015911447</v>
      </c>
      <c r="T36" s="201">
        <f t="shared" ref="T36" si="65">MAX(T28:T34)</f>
        <v>8.5050549693387101</v>
      </c>
      <c r="U36" s="201">
        <f t="shared" si="63"/>
        <v>52.045303131245831</v>
      </c>
      <c r="V36" s="201">
        <f t="shared" si="63"/>
        <v>51.286045142296366</v>
      </c>
      <c r="W36" s="202">
        <f t="shared" ref="W36" si="66">MAX(W28:W34)</f>
        <v>15.485780465834512</v>
      </c>
      <c r="X36" s="68"/>
      <c r="Y36" s="68"/>
      <c r="Z36" s="68"/>
      <c r="AA36" s="68"/>
      <c r="AB36" s="68"/>
      <c r="AD36" s="69"/>
      <c r="AE36" s="68"/>
      <c r="AF36" s="68"/>
      <c r="AG36" s="68"/>
      <c r="AH36" s="68"/>
      <c r="AI36" s="68"/>
      <c r="AJ36" s="68"/>
      <c r="AK36" s="68"/>
      <c r="AL36" s="68"/>
      <c r="AM36" s="68"/>
      <c r="AQ36" s="68"/>
    </row>
    <row r="37" spans="1:43" x14ac:dyDescent="0.2">
      <c r="A37" s="68"/>
      <c r="B37" s="182" t="s">
        <v>329</v>
      </c>
      <c r="C37" s="68"/>
      <c r="D37" s="94"/>
      <c r="E37" s="94"/>
      <c r="F37" s="249">
        <f>QUARTILE(F28:F34,3)</f>
        <v>2543.1875</v>
      </c>
      <c r="G37" s="183"/>
      <c r="H37" s="183"/>
      <c r="I37" s="183"/>
      <c r="J37" s="183"/>
      <c r="K37" s="183"/>
      <c r="L37" s="183"/>
      <c r="M37" s="183"/>
      <c r="N37" s="308">
        <f t="shared" ref="N37:V37" si="67">QUARTILE(N28:N34,3)</f>
        <v>3851.6054999999997</v>
      </c>
      <c r="O37" s="82">
        <f t="shared" si="67"/>
        <v>1.8604461710891036</v>
      </c>
      <c r="P37" s="82">
        <f t="shared" si="67"/>
        <v>1.5473556792931662</v>
      </c>
      <c r="Q37" s="82">
        <f t="shared" ref="Q37" si="68">QUARTILE(Q28:Q34,3)</f>
        <v>1.4362848811489413</v>
      </c>
      <c r="R37" s="82">
        <f t="shared" si="67"/>
        <v>12.123184485441969</v>
      </c>
      <c r="S37" s="82">
        <f t="shared" si="67"/>
        <v>6.665801765336961</v>
      </c>
      <c r="T37" s="82">
        <f t="shared" ref="T37" si="69">QUARTILE(T28:T34,3)</f>
        <v>5.4666254440321467</v>
      </c>
      <c r="U37" s="82">
        <f t="shared" si="67"/>
        <v>25.804504721012464</v>
      </c>
      <c r="V37" s="82">
        <f t="shared" si="67"/>
        <v>18.241109659921072</v>
      </c>
      <c r="W37" s="203">
        <f t="shared" ref="W37" si="70">QUARTILE(W28:W34,3)</f>
        <v>9.6512575162487764</v>
      </c>
      <c r="X37" s="68"/>
      <c r="Y37" s="68"/>
      <c r="Z37" s="68"/>
      <c r="AA37" s="68"/>
      <c r="AB37" s="68"/>
      <c r="AQ37" s="68"/>
    </row>
    <row r="38" spans="1:43" x14ac:dyDescent="0.2">
      <c r="A38" s="68"/>
      <c r="B38" s="297" t="s">
        <v>330</v>
      </c>
      <c r="C38" s="298"/>
      <c r="D38" s="300"/>
      <c r="E38" s="300"/>
      <c r="F38" s="301">
        <f>MEDIAN(F28:F34)</f>
        <v>2100.1954000000001</v>
      </c>
      <c r="G38" s="303"/>
      <c r="H38" s="303"/>
      <c r="I38" s="304"/>
      <c r="J38" s="304"/>
      <c r="K38" s="304"/>
      <c r="L38" s="304"/>
      <c r="M38" s="304"/>
      <c r="N38" s="309">
        <f t="shared" ref="N38:V38" si="71">MEDIAN(N28:N34)</f>
        <v>2151.3510000000001</v>
      </c>
      <c r="O38" s="311">
        <f t="shared" si="71"/>
        <v>1.710109979773341</v>
      </c>
      <c r="P38" s="311">
        <f t="shared" si="71"/>
        <v>1.1623854742798028</v>
      </c>
      <c r="Q38" s="311">
        <f t="shared" ref="Q38" si="72">MEDIAN(Q28:Q34)</f>
        <v>0.93470799452650499</v>
      </c>
      <c r="R38" s="311">
        <f t="shared" si="71"/>
        <v>7.3815652160635219</v>
      </c>
      <c r="S38" s="311">
        <f t="shared" si="71"/>
        <v>5.8767236669580427</v>
      </c>
      <c r="T38" s="311">
        <f t="shared" ref="T38" si="73">MEDIAN(T28:T34)</f>
        <v>4.3128356864053226</v>
      </c>
      <c r="U38" s="311">
        <f t="shared" si="71"/>
        <v>20.602050720858383</v>
      </c>
      <c r="V38" s="311">
        <f t="shared" si="71"/>
        <v>11.603450542596702</v>
      </c>
      <c r="W38" s="312">
        <f t="shared" ref="W38" si="74">MEDIAN(W28:W34)</f>
        <v>8.0919825978868847</v>
      </c>
      <c r="X38" s="68"/>
      <c r="Y38" s="68"/>
      <c r="Z38" s="68"/>
      <c r="AA38" s="68"/>
      <c r="AB38" s="68"/>
      <c r="AE38" s="68"/>
      <c r="AQ38" s="68"/>
    </row>
    <row r="39" spans="1:43" x14ac:dyDescent="0.2">
      <c r="A39" s="68"/>
      <c r="B39" s="182" t="s">
        <v>331</v>
      </c>
      <c r="C39" s="101"/>
      <c r="D39" s="94"/>
      <c r="E39" s="94"/>
      <c r="F39" s="249">
        <f>QUARTILE(F28:F34,1)</f>
        <v>1046.1934999999999</v>
      </c>
      <c r="G39" s="183"/>
      <c r="H39" s="183"/>
      <c r="I39" s="183"/>
      <c r="J39" s="183"/>
      <c r="K39" s="183"/>
      <c r="L39" s="183"/>
      <c r="M39" s="183"/>
      <c r="N39" s="308">
        <f t="shared" ref="N39:V39" si="75">QUARTILE(N28:N34,1)</f>
        <v>1490.6976999999999</v>
      </c>
      <c r="O39" s="82">
        <f t="shared" si="75"/>
        <v>1.1630662863535677</v>
      </c>
      <c r="P39" s="82">
        <f t="shared" si="75"/>
        <v>0.81039596341255915</v>
      </c>
      <c r="Q39" s="82">
        <f t="shared" ref="Q39" si="76">QUARTILE(Q28:Q34,1)</f>
        <v>0.68636838660480504</v>
      </c>
      <c r="R39" s="82">
        <f t="shared" si="75"/>
        <v>5.9892492850464842</v>
      </c>
      <c r="S39" s="82">
        <f t="shared" si="75"/>
        <v>3.6053834379112848</v>
      </c>
      <c r="T39" s="82">
        <f t="shared" ref="T39" si="77">QUARTILE(T28:T34,1)</f>
        <v>2.531114246349536</v>
      </c>
      <c r="U39" s="82">
        <f t="shared" si="75"/>
        <v>17.617468594168699</v>
      </c>
      <c r="V39" s="82">
        <f t="shared" si="75"/>
        <v>9.9473074146198552</v>
      </c>
      <c r="W39" s="203">
        <f t="shared" ref="W39" si="78">QUARTILE(W28:W34,1)</f>
        <v>7.0229816479382272</v>
      </c>
      <c r="X39" s="68"/>
      <c r="Y39" s="68"/>
      <c r="Z39" s="68"/>
      <c r="AA39" s="68"/>
      <c r="AB39" s="68"/>
      <c r="AQ39" s="68"/>
    </row>
    <row r="40" spans="1:43" x14ac:dyDescent="0.2">
      <c r="A40" s="68"/>
      <c r="B40" s="185" t="s">
        <v>332</v>
      </c>
      <c r="C40" s="186"/>
      <c r="D40" s="187"/>
      <c r="E40" s="187"/>
      <c r="F40" s="251">
        <f>MIN(F28:F34)</f>
        <v>781.19999999999993</v>
      </c>
      <c r="G40" s="188"/>
      <c r="H40" s="188"/>
      <c r="I40" s="188"/>
      <c r="J40" s="188"/>
      <c r="K40" s="188"/>
      <c r="L40" s="188"/>
      <c r="M40" s="188"/>
      <c r="N40" s="310">
        <f t="shared" ref="N40:V40" si="79">MIN(N28:N34)</f>
        <v>1016.4999999999999</v>
      </c>
      <c r="O40" s="204">
        <f t="shared" si="79"/>
        <v>0.37546083870287361</v>
      </c>
      <c r="P40" s="204">
        <f t="shared" si="79"/>
        <v>0.28336257072909743</v>
      </c>
      <c r="Q40" s="204">
        <f t="shared" ref="Q40" si="80">MIN(Q28:Q34)</f>
        <v>0.26128807877265425</v>
      </c>
      <c r="R40" s="204">
        <f t="shared" si="79"/>
        <v>4.1514299287410932</v>
      </c>
      <c r="S40" s="204">
        <f t="shared" si="79"/>
        <v>2.6098717142327068</v>
      </c>
      <c r="T40" s="204">
        <f t="shared" ref="T40" si="81">MIN(T28:T34)</f>
        <v>2.354134156197194</v>
      </c>
      <c r="U40" s="204">
        <f t="shared" si="79"/>
        <v>10.554540411368098</v>
      </c>
      <c r="V40" s="204">
        <f t="shared" si="79"/>
        <v>5.7368804852865249</v>
      </c>
      <c r="W40" s="205">
        <f t="shared" ref="W40" si="82">MIN(W28:W34)</f>
        <v>1.8138519924098671</v>
      </c>
      <c r="X40" s="68"/>
      <c r="Y40" s="68"/>
      <c r="Z40" s="68"/>
      <c r="AA40" s="68"/>
      <c r="AB40" s="68"/>
      <c r="AQ40" s="68"/>
    </row>
    <row r="41" spans="1:43" x14ac:dyDescent="0.2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Q41" s="68"/>
    </row>
    <row r="42" spans="1:43" ht="14.5" customHeight="1" x14ac:dyDescent="0.2">
      <c r="A42" s="68"/>
      <c r="B42" s="144" t="str">
        <f>Company_Name</f>
        <v>easyJet plc</v>
      </c>
      <c r="C42" s="145" t="str">
        <f>Ticker</f>
        <v>LSE:EZJ</v>
      </c>
      <c r="D42" s="206"/>
      <c r="E42" s="206"/>
      <c r="F42" s="291">
        <f>F23</f>
        <v>3439.0289999999995</v>
      </c>
      <c r="G42" s="192"/>
      <c r="H42" s="193"/>
      <c r="I42" s="194"/>
      <c r="J42" s="194"/>
      <c r="K42" s="194"/>
      <c r="L42" s="194"/>
      <c r="M42" s="194"/>
      <c r="N42" s="291">
        <f>N23</f>
        <v>3426.0865396825393</v>
      </c>
      <c r="O42" s="207">
        <f t="shared" ref="O42:S42" si="83">IFERROR(IF(OR(+$N23/O23&lt;0,+$N23/O23&gt;=100),"NM",+$N23/O23),"N/A")</f>
        <v>0.75486555617566586</v>
      </c>
      <c r="P42" s="208">
        <f t="shared" si="83"/>
        <v>0.54290691103692779</v>
      </c>
      <c r="Q42" s="208">
        <f t="shared" ref="Q42" si="84">IFERROR(IF(OR(+$N23/Q23&lt;0,+$N23/Q23&gt;=100),"NM",+$N23/Q23),"N/A")</f>
        <v>0.49360134219876733</v>
      </c>
      <c r="R42" s="209">
        <f t="shared" si="83"/>
        <v>10.890162834869132</v>
      </c>
      <c r="S42" s="209">
        <f t="shared" si="83"/>
        <v>4.7911752640563137</v>
      </c>
      <c r="T42" s="209">
        <f t="shared" ref="T42" si="85">IFERROR(IF(OR(+$N23/T23&lt;0,+$N23/T23&gt;=100),"NM",+$N23/T23),"N/A")</f>
        <v>4.013147459236813</v>
      </c>
      <c r="U42" s="209" t="str">
        <f t="shared" ref="U42:V42" si="86">IFERROR(IF(OR(+$F23/U23&lt;0,+$F23/U23&gt;=100),"NM",+$F23/U23),"N/A")</f>
        <v>NM</v>
      </c>
      <c r="V42" s="209">
        <f t="shared" si="86"/>
        <v>30.731753096176053</v>
      </c>
      <c r="W42" s="209">
        <f t="shared" ref="W42" si="87">IFERROR(IF(OR(+$F23/W23&lt;0,+$F23/W23&gt;=100),"NM",+$F23/W23),"N/A")</f>
        <v>17.200855876054838</v>
      </c>
      <c r="X42" s="68"/>
      <c r="Y42" s="68"/>
      <c r="Z42" s="68"/>
      <c r="AA42" s="68"/>
      <c r="AB42" s="68"/>
      <c r="AQ42" s="68"/>
    </row>
    <row r="43" spans="1:43" x14ac:dyDescent="0.2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Q43" s="68"/>
    </row>
    <row r="44" spans="1:43" x14ac:dyDescent="0.2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D44" s="69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Q44" s="68"/>
    </row>
    <row r="45" spans="1:43" x14ac:dyDescent="0.2">
      <c r="AE45" s="68"/>
      <c r="AQ45" s="68"/>
    </row>
    <row r="46" spans="1:43" x14ac:dyDescent="0.2">
      <c r="AQ46" s="68"/>
    </row>
    <row r="47" spans="1:43" x14ac:dyDescent="0.2">
      <c r="AN47" s="68"/>
    </row>
    <row r="48" spans="1:43" x14ac:dyDescent="0.2">
      <c r="AD48" s="69"/>
      <c r="AE48" s="68"/>
      <c r="AF48" s="68"/>
      <c r="AG48" s="68"/>
      <c r="AH48" s="68"/>
      <c r="AI48" s="68"/>
      <c r="AJ48" s="68"/>
      <c r="AK48" s="68"/>
      <c r="AL48" s="68"/>
      <c r="AM48" s="68"/>
      <c r="AN48" s="68"/>
    </row>
    <row r="49" spans="30:41" x14ac:dyDescent="0.2">
      <c r="AD49" s="69"/>
      <c r="AE49" s="68"/>
      <c r="AF49" s="68"/>
      <c r="AG49" s="68"/>
      <c r="AH49" s="68"/>
      <c r="AI49" s="68"/>
      <c r="AJ49" s="68"/>
      <c r="AK49" s="68"/>
      <c r="AL49" s="68"/>
      <c r="AM49" s="68"/>
      <c r="AN49" s="68"/>
    </row>
    <row r="50" spans="30:41" x14ac:dyDescent="0.2">
      <c r="AD50" s="69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</row>
    <row r="51" spans="30:41" x14ac:dyDescent="0.2">
      <c r="AN51" s="68"/>
      <c r="AO51" s="68"/>
    </row>
    <row r="52" spans="30:41" x14ac:dyDescent="0.2">
      <c r="AN52" s="68"/>
      <c r="AO52" s="68"/>
    </row>
    <row r="53" spans="30:41" x14ac:dyDescent="0.2">
      <c r="AO53" s="68"/>
    </row>
    <row r="54" spans="30:41" x14ac:dyDescent="0.2">
      <c r="AO54" s="68"/>
    </row>
    <row r="55" spans="30:41" x14ac:dyDescent="0.2">
      <c r="AO55" s="68"/>
    </row>
    <row r="56" spans="30:41" x14ac:dyDescent="0.2">
      <c r="AO56" s="68"/>
    </row>
    <row r="57" spans="30:41" x14ac:dyDescent="0.2">
      <c r="AN57" s="68"/>
      <c r="AO57" s="68"/>
    </row>
    <row r="58" spans="30:41" x14ac:dyDescent="0.2">
      <c r="AD58" s="69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</row>
    <row r="65" spans="30:41" x14ac:dyDescent="0.2">
      <c r="AD65" s="69"/>
      <c r="AE65" s="210"/>
      <c r="AF65" s="68"/>
      <c r="AG65" s="68"/>
      <c r="AH65" s="68"/>
      <c r="AI65" s="68"/>
      <c r="AJ65" s="68"/>
      <c r="AK65" s="68"/>
      <c r="AL65" s="68"/>
      <c r="AM65" s="68"/>
      <c r="AN65" s="68"/>
      <c r="AO65" s="68"/>
    </row>
    <row r="66" spans="30:41" x14ac:dyDescent="0.2">
      <c r="AD66" s="69"/>
      <c r="AE66" s="80"/>
      <c r="AO66" s="68"/>
    </row>
    <row r="67" spans="30:41" x14ac:dyDescent="0.2">
      <c r="AD67" s="69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</row>
    <row r="68" spans="30:41" x14ac:dyDescent="0.2">
      <c r="AN68" s="68"/>
      <c r="AO68" s="68"/>
    </row>
    <row r="69" spans="30:41" x14ac:dyDescent="0.2">
      <c r="AD69" s="69"/>
      <c r="AO69" s="68"/>
    </row>
    <row r="72" spans="30:41" x14ac:dyDescent="0.2">
      <c r="AD72" s="69"/>
      <c r="AE72" s="68"/>
      <c r="AF72" s="68"/>
      <c r="AG72" s="68"/>
      <c r="AH72" s="68"/>
      <c r="AI72" s="68"/>
      <c r="AJ72" s="68"/>
      <c r="AK72" s="68"/>
      <c r="AL72" s="68"/>
      <c r="AM72" s="68"/>
    </row>
    <row r="79" spans="30:41" x14ac:dyDescent="0.2">
      <c r="AD79" s="69"/>
      <c r="AE79" s="68"/>
      <c r="AF79" s="68"/>
      <c r="AG79" s="68"/>
      <c r="AH79" s="68"/>
      <c r="AI79" s="68"/>
      <c r="AJ79" s="68"/>
      <c r="AK79" s="68"/>
      <c r="AL79" s="68"/>
      <c r="AM79" s="68"/>
    </row>
  </sheetData>
  <pageMargins left="0.7" right="0.7" top="0.75" bottom="0.75" header="0.3" footer="0.3"/>
  <pageSetup scale="31" orientation="portrait" horizontalDpi="1200" verticalDpi="1200" r:id="rId1"/>
  <ignoredErrors>
    <ignoredError xmlns:x16r3="http://schemas.microsoft.com/office/spreadsheetml/2018/08/main" sqref="N28" x16r3:misleadingFormat="1"/>
    <ignoredError sqref="W8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B18C-C476-481F-8BE7-CE19BD8CC81B}">
  <sheetPr>
    <pageSetUpPr autoPageBreaks="0"/>
  </sheetPr>
  <dimension ref="B2:V61"/>
  <sheetViews>
    <sheetView showGridLines="0" zoomScale="90" zoomScaleNormal="90" workbookViewId="0">
      <selection activeCell="F24" sqref="F24"/>
    </sheetView>
  </sheetViews>
  <sheetFormatPr baseColWidth="10" defaultColWidth="8.83203125" defaultRowHeight="15" x14ac:dyDescent="0.2"/>
  <cols>
    <col min="1" max="1" width="2.6640625" customWidth="1"/>
    <col min="2" max="2" width="53.6640625" bestFit="1" customWidth="1"/>
    <col min="3" max="3" width="49" bestFit="1" customWidth="1"/>
    <col min="4" max="10" width="16.6640625" customWidth="1"/>
    <col min="11" max="12" width="2.6640625" customWidth="1"/>
    <col min="13" max="21" width="12.33203125" customWidth="1"/>
  </cols>
  <sheetData>
    <row r="2" spans="2:22" ht="19" x14ac:dyDescent="0.25">
      <c r="B2" s="211" t="s">
        <v>336</v>
      </c>
    </row>
    <row r="3" spans="2:22" ht="19" x14ac:dyDescent="0.25">
      <c r="B3" s="211" t="s">
        <v>337</v>
      </c>
    </row>
    <row r="4" spans="2:22" ht="16" x14ac:dyDescent="0.2">
      <c r="B4" s="68" t="str">
        <f>Public_Comps!$B$3</f>
        <v>(£ GBP in Millions Except Per Share Amounts in GBP as Stated)</v>
      </c>
    </row>
    <row r="5" spans="2:22" ht="16" x14ac:dyDescent="0.2">
      <c r="B5" s="30" t="s">
        <v>338</v>
      </c>
    </row>
    <row r="7" spans="2:22" ht="16" x14ac:dyDescent="0.2">
      <c r="B7" s="274" t="str">
        <f>Company_Name&amp;" - Comparable M&amp;A Transactions:"</f>
        <v>easyJet plc - Comparable M&amp;A Transactions:</v>
      </c>
      <c r="C7" s="274"/>
      <c r="D7" s="274"/>
      <c r="E7" s="274"/>
      <c r="F7" s="278"/>
      <c r="G7" s="278"/>
      <c r="H7" s="278"/>
      <c r="I7" s="275" t="s">
        <v>339</v>
      </c>
      <c r="J7" s="275"/>
      <c r="L7" s="30"/>
      <c r="M7" s="30"/>
      <c r="N7" s="30"/>
      <c r="O7" s="30"/>
      <c r="P7" s="30"/>
      <c r="Q7" s="30"/>
      <c r="R7" s="30"/>
      <c r="S7" s="30"/>
      <c r="T7" s="30"/>
      <c r="U7" s="30"/>
      <c r="V7" s="68"/>
    </row>
    <row r="8" spans="2:22" ht="16" x14ac:dyDescent="0.2">
      <c r="B8" s="274"/>
      <c r="C8" s="274"/>
      <c r="D8" s="274"/>
      <c r="E8" s="274"/>
      <c r="F8" s="278" t="s">
        <v>340</v>
      </c>
      <c r="G8" s="278"/>
      <c r="H8" s="278"/>
      <c r="I8" s="278" t="s">
        <v>341</v>
      </c>
      <c r="J8" s="278" t="s">
        <v>341</v>
      </c>
      <c r="L8" s="69"/>
      <c r="M8" s="68"/>
      <c r="N8" s="68"/>
      <c r="O8" s="68"/>
      <c r="P8" s="68"/>
      <c r="Q8" s="68"/>
      <c r="R8" s="68"/>
      <c r="S8" s="68"/>
      <c r="T8" s="68"/>
      <c r="U8" s="68"/>
      <c r="V8" s="68"/>
    </row>
    <row r="9" spans="2:22" ht="16" x14ac:dyDescent="0.2">
      <c r="B9" s="277"/>
      <c r="C9" s="277"/>
      <c r="D9" s="278" t="s">
        <v>342</v>
      </c>
      <c r="E9" s="278" t="s">
        <v>343</v>
      </c>
      <c r="F9" s="278" t="s">
        <v>308</v>
      </c>
      <c r="G9" s="278" t="s">
        <v>344</v>
      </c>
      <c r="H9" s="278" t="s">
        <v>344</v>
      </c>
      <c r="I9" s="278" t="s">
        <v>344</v>
      </c>
      <c r="J9" s="278" t="s">
        <v>344</v>
      </c>
      <c r="L9" s="69"/>
      <c r="M9" s="68"/>
      <c r="N9" s="68"/>
      <c r="O9" s="68"/>
      <c r="P9" s="68"/>
      <c r="Q9" s="68"/>
      <c r="R9" s="68"/>
      <c r="S9" s="68"/>
      <c r="T9" s="68"/>
      <c r="U9" s="68"/>
      <c r="V9" s="68"/>
    </row>
    <row r="10" spans="2:22" ht="16" x14ac:dyDescent="0.2">
      <c r="B10" s="281" t="s">
        <v>345</v>
      </c>
      <c r="C10" s="281" t="s">
        <v>346</v>
      </c>
      <c r="D10" s="281" t="s">
        <v>188</v>
      </c>
      <c r="E10" s="281" t="s">
        <v>347</v>
      </c>
      <c r="F10" s="281" t="s">
        <v>285</v>
      </c>
      <c r="G10" s="281" t="s">
        <v>309</v>
      </c>
      <c r="H10" s="281" t="s">
        <v>310</v>
      </c>
      <c r="I10" s="281" t="s">
        <v>309</v>
      </c>
      <c r="J10" s="281" t="s">
        <v>310</v>
      </c>
      <c r="L10" s="79"/>
      <c r="M10" s="30"/>
      <c r="N10" s="30"/>
      <c r="O10" s="30"/>
      <c r="P10" s="30"/>
      <c r="Q10" s="30"/>
      <c r="R10" s="30"/>
      <c r="S10" s="30"/>
      <c r="T10" s="30"/>
      <c r="U10" s="30"/>
      <c r="V10" s="30"/>
    </row>
    <row r="11" spans="2:22" ht="16" x14ac:dyDescent="0.2">
      <c r="B11" s="30" t="s">
        <v>348</v>
      </c>
      <c r="C11" s="51" t="s">
        <v>349</v>
      </c>
      <c r="D11" s="212">
        <v>37894</v>
      </c>
      <c r="E11" s="213">
        <v>1</v>
      </c>
      <c r="F11" s="351">
        <v>3021.44</v>
      </c>
      <c r="G11" s="351">
        <v>4316.3428571428576</v>
      </c>
      <c r="H11" s="351">
        <v>348.49365628604386</v>
      </c>
      <c r="I11" s="82">
        <f t="shared" ref="I11:J17" si="0">IFERROR(IF(OR(+$F11/G11&lt;0,+$F11/G11&gt;=100),"NM",+$F11/G11),"N/A")</f>
        <v>0.7</v>
      </c>
      <c r="J11" s="82">
        <f t="shared" si="0"/>
        <v>8.67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</row>
    <row r="12" spans="2:22" ht="16" x14ac:dyDescent="0.2">
      <c r="B12" s="30" t="s">
        <v>350</v>
      </c>
      <c r="C12" s="51" t="s">
        <v>351</v>
      </c>
      <c r="D12" s="212">
        <v>40129</v>
      </c>
      <c r="E12" s="213">
        <v>0.86850000000000005</v>
      </c>
      <c r="F12" s="214">
        <v>763.25</v>
      </c>
      <c r="G12" s="214">
        <v>4240.2777777777783</v>
      </c>
      <c r="H12" s="214">
        <v>30.714285714285712</v>
      </c>
      <c r="I12" s="82">
        <f t="shared" si="0"/>
        <v>0.17999999999999997</v>
      </c>
      <c r="J12" s="82">
        <f t="shared" si="0"/>
        <v>24.85</v>
      </c>
      <c r="L12" s="79"/>
      <c r="M12" s="80"/>
      <c r="N12" s="30"/>
      <c r="O12" s="30"/>
      <c r="P12" s="30"/>
      <c r="Q12" s="30"/>
      <c r="R12" s="30"/>
      <c r="S12" s="30"/>
      <c r="T12" s="30"/>
      <c r="U12" s="30"/>
      <c r="V12" s="30"/>
    </row>
    <row r="13" spans="2:22" ht="16" x14ac:dyDescent="0.2">
      <c r="B13" s="30" t="s">
        <v>352</v>
      </c>
      <c r="C13" s="51" t="s">
        <v>353</v>
      </c>
      <c r="D13" s="212">
        <v>41991</v>
      </c>
      <c r="E13" s="213">
        <v>1</v>
      </c>
      <c r="F13" s="214">
        <v>869.58</v>
      </c>
      <c r="G13" s="214">
        <v>1175.1081081081081</v>
      </c>
      <c r="H13" s="214">
        <v>131.75454545454548</v>
      </c>
      <c r="I13" s="82">
        <f t="shared" si="0"/>
        <v>0.74</v>
      </c>
      <c r="J13" s="82">
        <f t="shared" si="0"/>
        <v>6.5999999999999988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</row>
    <row r="14" spans="2:22" ht="17" x14ac:dyDescent="0.2">
      <c r="B14" s="215" t="s">
        <v>354</v>
      </c>
      <c r="C14" s="51" t="s">
        <v>355</v>
      </c>
      <c r="D14" s="212">
        <v>39871</v>
      </c>
      <c r="E14" s="213">
        <v>0.58399999999999996</v>
      </c>
      <c r="F14" s="214">
        <v>1162.4000000000001</v>
      </c>
      <c r="G14" s="214">
        <v>2152.5925925925926</v>
      </c>
      <c r="H14" s="214">
        <v>212.11678832116789</v>
      </c>
      <c r="I14" s="82">
        <f t="shared" si="0"/>
        <v>0.54</v>
      </c>
      <c r="J14" s="82">
        <f t="shared" si="0"/>
        <v>5.48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</row>
    <row r="15" spans="2:22" ht="16" x14ac:dyDescent="0.2">
      <c r="B15" s="30" t="s">
        <v>354</v>
      </c>
      <c r="C15" s="51" t="s">
        <v>356</v>
      </c>
      <c r="D15" s="212">
        <v>38433</v>
      </c>
      <c r="E15" s="213">
        <v>0.84599999999999997</v>
      </c>
      <c r="F15" s="352">
        <f>(319/49%-493.3+71.2+177+145.4+699.7+11.2)*0.87</f>
        <v>1098.1317551020409</v>
      </c>
      <c r="G15" s="214">
        <v>3273.9</v>
      </c>
      <c r="H15" s="214">
        <v>312.89999999999998</v>
      </c>
      <c r="I15" s="82">
        <f t="shared" si="0"/>
        <v>0.33542006631297255</v>
      </c>
      <c r="J15" s="82">
        <f t="shared" si="0"/>
        <v>3.5095294186706325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</row>
    <row r="16" spans="2:22" ht="16" x14ac:dyDescent="0.2">
      <c r="B16" s="30" t="s">
        <v>357</v>
      </c>
      <c r="C16" s="51" t="s">
        <v>358</v>
      </c>
      <c r="D16" s="212">
        <v>42166</v>
      </c>
      <c r="E16" s="213">
        <v>0.61</v>
      </c>
      <c r="F16" s="214">
        <v>687.41</v>
      </c>
      <c r="G16" s="214">
        <v>2088.1999999999998</v>
      </c>
      <c r="H16" s="214">
        <v>57.6</v>
      </c>
      <c r="I16" s="82">
        <f t="shared" si="0"/>
        <v>0.32918781725888324</v>
      </c>
      <c r="J16" s="82">
        <f t="shared" si="0"/>
        <v>11.934201388888889</v>
      </c>
      <c r="L16" s="30"/>
      <c r="M16" s="68"/>
      <c r="N16" s="68"/>
      <c r="O16" s="68"/>
      <c r="P16" s="68"/>
      <c r="Q16" s="68"/>
      <c r="R16" s="68"/>
      <c r="S16" s="68"/>
      <c r="T16" s="68"/>
      <c r="U16" s="68"/>
      <c r="V16" s="30"/>
    </row>
    <row r="17" spans="2:22" ht="16" x14ac:dyDescent="0.2">
      <c r="B17" s="30" t="s">
        <v>359</v>
      </c>
      <c r="C17" s="51" t="s">
        <v>360</v>
      </c>
      <c r="D17" s="212">
        <v>39006</v>
      </c>
      <c r="E17" s="213">
        <v>0.505</v>
      </c>
      <c r="F17" s="214">
        <v>744.51</v>
      </c>
      <c r="G17" s="214">
        <v>385.5</v>
      </c>
      <c r="H17" s="214">
        <v>33.299999999999997</v>
      </c>
      <c r="I17" s="82">
        <f t="shared" si="0"/>
        <v>1.9312840466926069</v>
      </c>
      <c r="J17" s="82">
        <f t="shared" si="0"/>
        <v>22.357657657657658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</row>
    <row r="18" spans="2:22" ht="16" x14ac:dyDescent="0.2">
      <c r="F18" s="216"/>
      <c r="L18" s="30"/>
      <c r="M18" s="30"/>
      <c r="N18" s="30"/>
      <c r="O18" s="30"/>
      <c r="P18" s="30"/>
      <c r="Q18" s="30"/>
      <c r="R18" s="30"/>
      <c r="S18" s="30"/>
      <c r="T18" s="30"/>
      <c r="U18" s="30"/>
    </row>
    <row r="19" spans="2:22" ht="16" x14ac:dyDescent="0.2">
      <c r="C19" s="176" t="s">
        <v>328</v>
      </c>
      <c r="D19" s="217"/>
      <c r="E19" s="217"/>
      <c r="F19" s="307">
        <f>MAX(F11:F17)</f>
        <v>3021.44</v>
      </c>
      <c r="G19" s="307">
        <f>MAX(G11:G17)</f>
        <v>4316.3428571428576</v>
      </c>
      <c r="H19" s="307">
        <f>MAX(H11:H17)</f>
        <v>348.49365628604386</v>
      </c>
      <c r="I19" s="201">
        <f>MAX(I11:I17)</f>
        <v>1.9312840466926069</v>
      </c>
      <c r="J19" s="202">
        <f>MAX(J11:J17)</f>
        <v>24.85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</row>
    <row r="20" spans="2:22" ht="16" x14ac:dyDescent="0.2">
      <c r="C20" s="182" t="s">
        <v>329</v>
      </c>
      <c r="D20" s="218"/>
      <c r="E20" s="218"/>
      <c r="F20" s="308">
        <f>QUARTILE(F11:F17,3)</f>
        <v>1130.2658775510204</v>
      </c>
      <c r="G20" s="308">
        <f>QUARTILE(G11:G17,3)</f>
        <v>3757.0888888888894</v>
      </c>
      <c r="H20" s="308">
        <f>QUARTILE(H11:H17,3)</f>
        <v>262.50839416058392</v>
      </c>
      <c r="I20" s="82">
        <f>QUARTILE(I11:I17,3)</f>
        <v>0.72</v>
      </c>
      <c r="J20" s="203">
        <f>QUARTILE(J11:J17,3)</f>
        <v>17.145929523273274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</row>
    <row r="21" spans="2:22" ht="16" x14ac:dyDescent="0.2">
      <c r="C21" s="297" t="s">
        <v>330</v>
      </c>
      <c r="D21" s="323"/>
      <c r="E21" s="323"/>
      <c r="F21" s="309">
        <f>MEDIAN(F11:F17)</f>
        <v>869.58</v>
      </c>
      <c r="G21" s="309">
        <f>MEDIAN(G11:G17)</f>
        <v>2152.5925925925926</v>
      </c>
      <c r="H21" s="309">
        <f>MEDIAN(H11:H17)</f>
        <v>131.75454545454548</v>
      </c>
      <c r="I21" s="311">
        <f>MEDIAN(I11:I17)</f>
        <v>0.54</v>
      </c>
      <c r="J21" s="312">
        <f>MEDIAN(J11:J17)</f>
        <v>8.67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</row>
    <row r="22" spans="2:22" ht="16" x14ac:dyDescent="0.2">
      <c r="C22" s="182" t="s">
        <v>331</v>
      </c>
      <c r="D22" s="218"/>
      <c r="E22" s="218"/>
      <c r="F22" s="308">
        <f>QUARTILE(F11:F17,1)</f>
        <v>753.88</v>
      </c>
      <c r="G22" s="308">
        <f>QUARTILE(G11:G17,1)</f>
        <v>1631.6540540540541</v>
      </c>
      <c r="H22" s="308">
        <f>QUARTILE(H11:H17,1)</f>
        <v>45.45</v>
      </c>
      <c r="I22" s="82">
        <f>QUARTILE(I11:I17,1)</f>
        <v>0.33230394178592793</v>
      </c>
      <c r="J22" s="203">
        <f>QUARTILE(J11:J17,1)</f>
        <v>6.0399999999999991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</row>
    <row r="23" spans="2:22" ht="16" x14ac:dyDescent="0.2">
      <c r="C23" s="185" t="s">
        <v>332</v>
      </c>
      <c r="D23" s="219"/>
      <c r="E23" s="219"/>
      <c r="F23" s="310">
        <f>MIN(F11:F17)</f>
        <v>687.41</v>
      </c>
      <c r="G23" s="310">
        <f>MIN(G11:G17)</f>
        <v>385.5</v>
      </c>
      <c r="H23" s="310">
        <f>MIN(H11:H17)</f>
        <v>30.714285714285712</v>
      </c>
      <c r="I23" s="204">
        <f>MIN(I11:I17)</f>
        <v>0.17999999999999997</v>
      </c>
      <c r="J23" s="205">
        <f>MIN(J11:J17)</f>
        <v>3.5095294186706325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</row>
    <row r="24" spans="2:22" ht="16" x14ac:dyDescent="0.2">
      <c r="L24" s="30"/>
      <c r="M24" s="30"/>
      <c r="N24" s="30"/>
      <c r="O24" s="30"/>
      <c r="P24" s="30"/>
      <c r="Q24" s="30"/>
      <c r="R24" s="30"/>
      <c r="S24" s="30"/>
      <c r="T24" s="30"/>
      <c r="U24" s="30"/>
    </row>
    <row r="25" spans="2:22" ht="16" x14ac:dyDescent="0.2">
      <c r="I25" s="26"/>
      <c r="J25" s="26"/>
      <c r="L25" s="30"/>
      <c r="M25" s="30"/>
      <c r="N25" s="30"/>
      <c r="O25" s="30"/>
      <c r="P25" s="30"/>
      <c r="Q25" s="30"/>
      <c r="R25" s="30"/>
      <c r="S25" s="30"/>
      <c r="T25" s="30"/>
      <c r="U25" s="30"/>
    </row>
    <row r="26" spans="2:22" ht="16" x14ac:dyDescent="0.2">
      <c r="L26" s="30"/>
      <c r="M26" s="30"/>
      <c r="N26" s="30"/>
      <c r="O26" s="30"/>
      <c r="P26" s="30"/>
      <c r="Q26" s="30"/>
      <c r="R26" s="30"/>
      <c r="S26" s="30"/>
      <c r="T26" s="30"/>
      <c r="U26" s="30"/>
    </row>
    <row r="27" spans="2:22" ht="16" x14ac:dyDescent="0.2">
      <c r="L27" s="30"/>
      <c r="M27" s="30"/>
      <c r="N27" s="30"/>
      <c r="O27" s="30"/>
      <c r="P27" s="30"/>
      <c r="Q27" s="30"/>
      <c r="R27" s="30"/>
      <c r="S27" s="30"/>
      <c r="T27" s="30"/>
      <c r="U27" s="30"/>
    </row>
    <row r="28" spans="2:22" ht="16" x14ac:dyDescent="0.2">
      <c r="L28" s="69"/>
      <c r="M28" s="68"/>
      <c r="N28" s="68"/>
      <c r="O28" s="68"/>
      <c r="P28" s="68"/>
      <c r="Q28" s="68"/>
      <c r="R28" s="68"/>
      <c r="S28" s="68"/>
      <c r="T28" s="68"/>
      <c r="U28" s="68"/>
    </row>
    <row r="29" spans="2:22" ht="16" x14ac:dyDescent="0.2">
      <c r="L29" s="30"/>
      <c r="M29" s="68"/>
      <c r="N29" s="68"/>
      <c r="O29" s="68"/>
      <c r="P29" s="68"/>
      <c r="Q29" s="68"/>
      <c r="R29" s="68"/>
      <c r="S29" s="68"/>
      <c r="T29" s="68"/>
      <c r="U29" s="68"/>
    </row>
    <row r="30" spans="2:22" ht="16" x14ac:dyDescent="0.2">
      <c r="L30" s="30"/>
      <c r="M30" s="68"/>
      <c r="N30" s="68"/>
      <c r="O30" s="68"/>
      <c r="P30" s="68"/>
      <c r="Q30" s="68"/>
      <c r="R30" s="68"/>
      <c r="S30" s="68"/>
      <c r="T30" s="68"/>
      <c r="U30" s="68"/>
    </row>
    <row r="31" spans="2:22" ht="16" x14ac:dyDescent="0.2">
      <c r="L31" s="30"/>
      <c r="M31" s="30"/>
      <c r="N31" s="30"/>
      <c r="O31" s="30"/>
      <c r="P31" s="30"/>
      <c r="Q31" s="30"/>
      <c r="R31" s="30"/>
      <c r="S31" s="30"/>
      <c r="T31" s="30"/>
      <c r="U31" s="30"/>
    </row>
    <row r="32" spans="2:22" ht="16" x14ac:dyDescent="0.2">
      <c r="L32" s="30"/>
      <c r="M32" s="30"/>
      <c r="N32" s="30"/>
      <c r="O32" s="30"/>
      <c r="P32" s="30"/>
      <c r="Q32" s="30"/>
      <c r="R32" s="30"/>
      <c r="S32" s="30"/>
      <c r="T32" s="30"/>
      <c r="U32" s="30"/>
    </row>
    <row r="33" spans="12:22" ht="16" x14ac:dyDescent="0.2">
      <c r="L33" s="30"/>
      <c r="M33" s="30"/>
      <c r="N33" s="30"/>
      <c r="O33" s="30"/>
      <c r="P33" s="30"/>
      <c r="Q33" s="30"/>
      <c r="R33" s="30"/>
      <c r="S33" s="30"/>
      <c r="T33" s="30"/>
      <c r="U33" s="30"/>
    </row>
    <row r="34" spans="12:22" ht="16" x14ac:dyDescent="0.2">
      <c r="L34" s="30"/>
      <c r="M34" s="30"/>
      <c r="N34" s="30"/>
      <c r="O34" s="30"/>
      <c r="P34" s="30"/>
      <c r="Q34" s="30"/>
      <c r="R34" s="30"/>
      <c r="S34" s="30"/>
      <c r="T34" s="30"/>
      <c r="U34" s="30"/>
    </row>
    <row r="35" spans="12:22" ht="16" x14ac:dyDescent="0.2">
      <c r="L35" s="30"/>
      <c r="M35" s="30"/>
      <c r="N35" s="30"/>
      <c r="O35" s="30"/>
      <c r="P35" s="30"/>
      <c r="Q35" s="30"/>
      <c r="R35" s="30"/>
      <c r="S35" s="30"/>
      <c r="T35" s="30"/>
      <c r="U35" s="30"/>
    </row>
    <row r="36" spans="12:22" ht="16" x14ac:dyDescent="0.2">
      <c r="L36" s="30"/>
      <c r="M36" s="30"/>
      <c r="N36" s="30"/>
      <c r="O36" s="30"/>
      <c r="P36" s="30"/>
      <c r="Q36" s="30"/>
      <c r="R36" s="30"/>
      <c r="S36" s="30"/>
      <c r="T36" s="30"/>
      <c r="U36" s="30"/>
    </row>
    <row r="37" spans="12:22" ht="16" x14ac:dyDescent="0.2">
      <c r="L37" s="30"/>
      <c r="M37" s="30"/>
      <c r="N37" s="30"/>
      <c r="O37" s="30"/>
      <c r="P37" s="30"/>
      <c r="Q37" s="30"/>
      <c r="R37" s="30"/>
      <c r="S37" s="30"/>
      <c r="T37" s="30"/>
      <c r="U37" s="30"/>
    </row>
    <row r="38" spans="12:22" ht="16" x14ac:dyDescent="0.2">
      <c r="L38" s="30"/>
      <c r="M38" s="30"/>
      <c r="N38" s="30"/>
      <c r="O38" s="30"/>
      <c r="P38" s="30"/>
      <c r="Q38" s="30"/>
      <c r="R38" s="30"/>
      <c r="S38" s="30"/>
      <c r="T38" s="30"/>
      <c r="U38" s="30"/>
    </row>
    <row r="39" spans="12:22" ht="16" x14ac:dyDescent="0.2">
      <c r="L39" s="30"/>
      <c r="M39" s="30"/>
      <c r="N39" s="30"/>
      <c r="O39" s="30"/>
      <c r="P39" s="30"/>
      <c r="Q39" s="30"/>
      <c r="R39" s="30"/>
      <c r="S39" s="30"/>
      <c r="T39" s="30"/>
      <c r="U39" s="30"/>
    </row>
    <row r="40" spans="12:22" ht="16" x14ac:dyDescent="0.2">
      <c r="L40" s="30"/>
      <c r="M40" s="30"/>
      <c r="N40" s="30"/>
      <c r="O40" s="30"/>
      <c r="P40" s="30"/>
      <c r="Q40" s="30"/>
      <c r="R40" s="30"/>
      <c r="S40" s="30"/>
      <c r="T40" s="30"/>
      <c r="U40" s="30"/>
    </row>
    <row r="41" spans="12:22" ht="16" x14ac:dyDescent="0.2">
      <c r="L41" s="30"/>
      <c r="M41" s="30"/>
      <c r="N41" s="30"/>
      <c r="O41" s="30"/>
      <c r="P41" s="30"/>
      <c r="Q41" s="30"/>
      <c r="R41" s="30"/>
      <c r="S41" s="30"/>
      <c r="T41" s="30"/>
      <c r="U41" s="30"/>
    </row>
    <row r="42" spans="12:22" ht="16" x14ac:dyDescent="0.2">
      <c r="L42" s="30"/>
      <c r="M42" s="220"/>
      <c r="N42" s="30"/>
      <c r="O42" s="30"/>
      <c r="P42" s="30"/>
      <c r="Q42" s="30"/>
      <c r="R42" s="30"/>
      <c r="S42" s="30"/>
      <c r="T42" s="30"/>
      <c r="U42" s="30"/>
    </row>
    <row r="43" spans="12:22" ht="16" x14ac:dyDescent="0.2">
      <c r="L43" s="30"/>
      <c r="M43" s="30"/>
      <c r="N43" s="30"/>
      <c r="O43" s="30"/>
      <c r="P43" s="30"/>
      <c r="Q43" s="30"/>
      <c r="R43" s="30"/>
      <c r="S43" s="30"/>
      <c r="T43" s="30"/>
      <c r="U43" s="30"/>
    </row>
    <row r="44" spans="12:22" ht="16" x14ac:dyDescent="0.2">
      <c r="L44" s="30"/>
      <c r="M44" s="30"/>
      <c r="N44" s="30"/>
      <c r="O44" s="30"/>
      <c r="P44" s="30"/>
      <c r="Q44" s="30"/>
      <c r="R44" s="30"/>
      <c r="S44" s="30"/>
      <c r="T44" s="30"/>
      <c r="U44" s="30"/>
    </row>
    <row r="45" spans="12:22" ht="16" x14ac:dyDescent="0.2">
      <c r="L45" s="30"/>
      <c r="M45" s="30"/>
      <c r="N45" s="30"/>
      <c r="O45" s="30"/>
      <c r="P45" s="30"/>
      <c r="Q45" s="30"/>
      <c r="R45" s="30"/>
      <c r="S45" s="30"/>
      <c r="T45" s="30"/>
      <c r="U45" s="30"/>
    </row>
    <row r="46" spans="12:22" ht="16" x14ac:dyDescent="0.2">
      <c r="L46" s="30"/>
      <c r="M46" s="30"/>
      <c r="N46" s="30"/>
      <c r="O46" s="30"/>
      <c r="P46" s="30"/>
      <c r="Q46" s="30"/>
      <c r="R46" s="30"/>
      <c r="S46" s="30"/>
      <c r="T46" s="30"/>
      <c r="U46" s="30"/>
    </row>
    <row r="47" spans="12:22" ht="16" x14ac:dyDescent="0.2"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68"/>
    </row>
    <row r="48" spans="12:22" ht="16" x14ac:dyDescent="0.2">
      <c r="L48" s="69"/>
      <c r="M48" s="68"/>
      <c r="N48" s="68"/>
      <c r="O48" s="68"/>
      <c r="P48" s="68"/>
      <c r="Q48" s="68"/>
      <c r="R48" s="68"/>
      <c r="S48" s="68"/>
      <c r="T48" s="68"/>
      <c r="U48" s="68"/>
      <c r="V48" s="68"/>
    </row>
    <row r="49" spans="12:22" ht="16" x14ac:dyDescent="0.2">
      <c r="L49" s="69"/>
      <c r="M49" s="68"/>
      <c r="N49" s="68"/>
      <c r="O49" s="68"/>
      <c r="P49" s="68"/>
      <c r="Q49" s="68"/>
      <c r="R49" s="68"/>
      <c r="S49" s="68"/>
      <c r="T49" s="68"/>
      <c r="U49" s="68"/>
      <c r="V49" s="68"/>
    </row>
    <row r="50" spans="12:22" ht="16" x14ac:dyDescent="0.2">
      <c r="L50" s="69"/>
      <c r="M50" s="68"/>
      <c r="N50" s="68"/>
      <c r="O50" s="68"/>
      <c r="P50" s="68"/>
      <c r="Q50" s="68"/>
      <c r="R50" s="68"/>
      <c r="S50" s="68"/>
      <c r="T50" s="68"/>
      <c r="U50" s="68"/>
      <c r="V50" s="68"/>
    </row>
    <row r="51" spans="12:22" ht="16" x14ac:dyDescent="0.2">
      <c r="L51" s="69"/>
      <c r="M51" s="68"/>
      <c r="N51" s="68"/>
      <c r="O51" s="68"/>
      <c r="P51" s="68"/>
      <c r="Q51" s="68"/>
      <c r="R51" s="68"/>
      <c r="S51" s="68"/>
      <c r="T51" s="68"/>
      <c r="U51" s="68"/>
      <c r="V51" s="68"/>
    </row>
    <row r="52" spans="12:22" ht="16" x14ac:dyDescent="0.2">
      <c r="L52" s="69"/>
      <c r="M52" s="68"/>
      <c r="N52" s="68"/>
      <c r="O52" s="68"/>
      <c r="P52" s="68"/>
      <c r="Q52" s="68"/>
      <c r="R52" s="68"/>
      <c r="S52" s="68"/>
      <c r="T52" s="68"/>
      <c r="U52" s="68"/>
      <c r="V52" s="68"/>
    </row>
    <row r="53" spans="12:22" ht="16" x14ac:dyDescent="0.2"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68"/>
    </row>
    <row r="54" spans="12:22" ht="16" x14ac:dyDescent="0.2">
      <c r="L54" s="69"/>
      <c r="M54" s="68"/>
      <c r="N54" s="68"/>
      <c r="O54" s="68"/>
      <c r="P54" s="68"/>
      <c r="Q54" s="68"/>
      <c r="R54" s="68"/>
      <c r="S54" s="68"/>
      <c r="T54" s="68"/>
      <c r="U54" s="68"/>
      <c r="V54" s="68"/>
    </row>
    <row r="55" spans="12:22" ht="16" x14ac:dyDescent="0.2">
      <c r="L55" s="69"/>
      <c r="M55" s="68"/>
      <c r="N55" s="68"/>
      <c r="O55" s="68"/>
      <c r="P55" s="68"/>
      <c r="Q55" s="68"/>
      <c r="R55" s="68"/>
      <c r="S55" s="68"/>
      <c r="T55" s="68"/>
      <c r="U55" s="68"/>
      <c r="V55" s="68"/>
    </row>
    <row r="56" spans="12:22" ht="16" x14ac:dyDescent="0.2">
      <c r="L56" s="69"/>
      <c r="M56" s="68"/>
      <c r="N56" s="68"/>
      <c r="O56" s="68"/>
      <c r="P56" s="68"/>
      <c r="Q56" s="68"/>
      <c r="R56" s="68"/>
      <c r="S56" s="68"/>
      <c r="T56" s="68"/>
      <c r="U56" s="68"/>
      <c r="V56" s="68"/>
    </row>
    <row r="57" spans="12:22" ht="16" x14ac:dyDescent="0.2">
      <c r="L57" s="69"/>
      <c r="M57" s="68"/>
      <c r="N57" s="68"/>
      <c r="O57" s="68"/>
      <c r="P57" s="68"/>
      <c r="Q57" s="68"/>
      <c r="R57" s="68"/>
      <c r="S57" s="68"/>
      <c r="T57" s="68"/>
      <c r="U57" s="68"/>
      <c r="V57" s="68"/>
    </row>
    <row r="58" spans="12:22" ht="16" x14ac:dyDescent="0.2"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</row>
    <row r="59" spans="12:22" ht="16" x14ac:dyDescent="0.2"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</row>
    <row r="60" spans="12:22" ht="16" x14ac:dyDescent="0.2"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</row>
    <row r="61" spans="12:22" ht="16" x14ac:dyDescent="0.2"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</row>
  </sheetData>
  <pageMargins left="0.7" right="0.7" top="0.75" bottom="0.75" header="0.3" footer="0.3"/>
  <pageSetup scale="40"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3F9C2-A9AC-47DE-8824-8346AA74DF55}">
  <sheetPr>
    <pageSetUpPr autoPageBreaks="0"/>
  </sheetPr>
  <dimension ref="B1:X46"/>
  <sheetViews>
    <sheetView showGridLines="0" topLeftCell="A30" zoomScaleNormal="100" workbookViewId="0">
      <selection activeCell="B2" sqref="B2"/>
    </sheetView>
  </sheetViews>
  <sheetFormatPr baseColWidth="10" defaultColWidth="9.1640625" defaultRowHeight="16" x14ac:dyDescent="0.2"/>
  <cols>
    <col min="1" max="1" width="2.6640625" style="30" customWidth="1"/>
    <col min="2" max="2" width="42.5" style="30" bestFit="1" customWidth="1"/>
    <col min="3" max="4" width="10.6640625" style="30" customWidth="1"/>
    <col min="5" max="5" width="11.5" style="30" bestFit="1" customWidth="1"/>
    <col min="6" max="7" width="10.6640625" style="30" customWidth="1"/>
    <col min="8" max="8" width="14" style="30" bestFit="1" customWidth="1"/>
    <col min="9" max="9" width="10.6640625" style="30" customWidth="1"/>
    <col min="10" max="10" width="14" style="30" bestFit="1" customWidth="1"/>
    <col min="11" max="11" width="13.5" style="30" bestFit="1" customWidth="1"/>
    <col min="12" max="13" width="14" style="30" bestFit="1" customWidth="1"/>
    <col min="14" max="15" width="2.6640625" style="30" customWidth="1"/>
    <col min="16" max="24" width="12.33203125" style="30" customWidth="1"/>
    <col min="25" max="16384" width="9.1640625" style="30"/>
  </cols>
  <sheetData>
    <row r="1" spans="2:24" x14ac:dyDescent="0.2"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</row>
    <row r="2" spans="2:24" ht="19" x14ac:dyDescent="0.25">
      <c r="B2" s="222" t="str">
        <f>"Valuation Summary - "&amp;Company_Name</f>
        <v>Valuation Summary - easyJet plc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</row>
    <row r="3" spans="2:24" x14ac:dyDescent="0.2">
      <c r="B3" s="68" t="str">
        <f>Public_Comps!$B$3</f>
        <v>(£ GBP in Millions Except Per Share Amounts in GBP as Stated)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</row>
    <row r="4" spans="2:24" x14ac:dyDescent="0.2"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</row>
    <row r="5" spans="2:24" x14ac:dyDescent="0.2">
      <c r="B5" s="274" t="str">
        <f>"Valuation Summary - "&amp;TEXT(Company_Name,"")</f>
        <v>Valuation Summary - easyJet plc</v>
      </c>
      <c r="C5" s="275" t="str">
        <f>TEXT(Company_Name,"")&amp;" - Range of Valuation Multiples / Premiums"</f>
        <v>easyJet plc - Range of Valuation Multiples / Premiums</v>
      </c>
      <c r="D5" s="275"/>
      <c r="E5" s="275"/>
      <c r="F5" s="276"/>
      <c r="G5" s="276"/>
      <c r="H5" s="276"/>
      <c r="I5" s="275" t="str">
        <f>TEXT(Company_Name,"")&amp;" - Implied Per Share Value Range"</f>
        <v>easyJet plc - Implied Per Share Value Range</v>
      </c>
      <c r="J5" s="276"/>
      <c r="K5" s="276"/>
      <c r="L5" s="276"/>
      <c r="M5" s="276"/>
    </row>
    <row r="6" spans="2:24" x14ac:dyDescent="0.2">
      <c r="B6" s="277"/>
      <c r="C6" s="278"/>
      <c r="D6" s="275"/>
      <c r="E6" s="275"/>
      <c r="F6" s="276"/>
      <c r="G6" s="275"/>
      <c r="H6" s="275"/>
      <c r="I6" s="275"/>
      <c r="J6" s="275"/>
      <c r="K6" s="275"/>
      <c r="L6" s="275"/>
      <c r="M6" s="275"/>
      <c r="O6" s="69"/>
      <c r="P6" s="68"/>
      <c r="Q6" s="68"/>
      <c r="R6" s="68"/>
      <c r="S6" s="68"/>
      <c r="T6" s="68"/>
      <c r="U6" s="68"/>
      <c r="V6" s="68"/>
      <c r="W6" s="68"/>
      <c r="X6" s="68"/>
    </row>
    <row r="7" spans="2:24" x14ac:dyDescent="0.2">
      <c r="B7" s="277"/>
      <c r="C7" s="278"/>
      <c r="D7" s="278" t="s">
        <v>361</v>
      </c>
      <c r="E7" s="278"/>
      <c r="F7" s="278" t="s">
        <v>362</v>
      </c>
      <c r="G7" s="275"/>
      <c r="H7" s="278" t="s">
        <v>363</v>
      </c>
      <c r="I7" s="278"/>
      <c r="J7" s="278" t="s">
        <v>362</v>
      </c>
      <c r="K7" s="278"/>
      <c r="L7" s="278" t="s">
        <v>361</v>
      </c>
      <c r="M7" s="278"/>
      <c r="O7" s="69"/>
      <c r="P7" s="68"/>
      <c r="Q7" s="68"/>
      <c r="R7" s="68"/>
      <c r="S7" s="68"/>
      <c r="T7" s="68"/>
      <c r="U7" s="68"/>
      <c r="V7" s="68"/>
      <c r="W7" s="68"/>
      <c r="X7" s="68"/>
    </row>
    <row r="8" spans="2:24" x14ac:dyDescent="0.2">
      <c r="B8" s="277"/>
      <c r="C8" s="278" t="s">
        <v>328</v>
      </c>
      <c r="D8" s="278" t="s">
        <v>364</v>
      </c>
      <c r="E8" s="278" t="s">
        <v>330</v>
      </c>
      <c r="F8" s="278" t="s">
        <v>364</v>
      </c>
      <c r="G8" s="278" t="s">
        <v>332</v>
      </c>
      <c r="H8" s="278" t="s">
        <v>365</v>
      </c>
      <c r="I8" s="278" t="s">
        <v>332</v>
      </c>
      <c r="J8" s="278" t="s">
        <v>364</v>
      </c>
      <c r="K8" s="278" t="s">
        <v>330</v>
      </c>
      <c r="L8" s="278" t="s">
        <v>364</v>
      </c>
      <c r="M8" s="278" t="s">
        <v>328</v>
      </c>
      <c r="O8" s="79"/>
    </row>
    <row r="9" spans="2:24" x14ac:dyDescent="0.2">
      <c r="B9" s="280" t="s">
        <v>366</v>
      </c>
      <c r="C9" s="281" t="s">
        <v>367</v>
      </c>
      <c r="D9" s="281" t="s">
        <v>367</v>
      </c>
      <c r="E9" s="281" t="s">
        <v>367</v>
      </c>
      <c r="F9" s="281" t="s">
        <v>367</v>
      </c>
      <c r="G9" s="281" t="s">
        <v>367</v>
      </c>
      <c r="H9" s="281" t="s">
        <v>368</v>
      </c>
      <c r="I9" s="281" t="s">
        <v>367</v>
      </c>
      <c r="J9" s="281" t="s">
        <v>367</v>
      </c>
      <c r="K9" s="281" t="s">
        <v>367</v>
      </c>
      <c r="L9" s="281" t="s">
        <v>367</v>
      </c>
      <c r="M9" s="281" t="s">
        <v>367</v>
      </c>
    </row>
    <row r="11" spans="2:24" x14ac:dyDescent="0.2">
      <c r="B11" s="19" t="s">
        <v>369</v>
      </c>
    </row>
    <row r="12" spans="2:24" x14ac:dyDescent="0.2">
      <c r="B12" s="31" t="str">
        <f>Public_Comps!$O$27&amp;" TEV / Revenue:"</f>
        <v>CY 22 TEV / Revenue:</v>
      </c>
      <c r="C12" s="223">
        <f t="array" ref="C12:G20">TRANSPOSE(Public_Comps!O36:W40)</f>
        <v>3.8374295827309433</v>
      </c>
      <c r="D12" s="223">
        <v>1.8604461710891036</v>
      </c>
      <c r="E12" s="223">
        <v>1.710109979773341</v>
      </c>
      <c r="F12" s="223">
        <v>1.1630662863535677</v>
      </c>
      <c r="G12" s="223">
        <v>0.37546083870287361</v>
      </c>
      <c r="H12" s="258">
        <f t="array" ref="H12:H20">TRANSPOSE(Public_Comps!O23:W23)</f>
        <v>4538.6711734999999</v>
      </c>
      <c r="I12" s="357">
        <f t="shared" ref="I12:M17" si="0">MAX(0,(I31+SUM($E$30:$E$36))/$E$39)</f>
        <v>2.2622341840794808</v>
      </c>
      <c r="J12" s="357">
        <f t="shared" si="0"/>
        <v>6.9719603255073697</v>
      </c>
      <c r="K12" s="357">
        <f t="shared" si="0"/>
        <v>10.243174346547287</v>
      </c>
      <c r="L12" s="357">
        <f t="shared" si="0"/>
        <v>11.142155292342585</v>
      </c>
      <c r="M12" s="357">
        <f t="shared" si="0"/>
        <v>22.964128442417032</v>
      </c>
      <c r="O12" s="79"/>
      <c r="P12" s="80"/>
    </row>
    <row r="13" spans="2:24" x14ac:dyDescent="0.2">
      <c r="B13" s="31" t="str">
        <f>Public_Comps!$P$27&amp;" TEV / Revenue:"</f>
        <v>CY 23 TEV / Revenue:</v>
      </c>
      <c r="C13" s="223">
        <v>3.1771746981735625</v>
      </c>
      <c r="D13" s="223">
        <v>1.5473556792931662</v>
      </c>
      <c r="E13" s="223">
        <v>1.1623854742798028</v>
      </c>
      <c r="F13" s="223">
        <v>0.81039596341255915</v>
      </c>
      <c r="G13" s="223">
        <v>0.28336257072909743</v>
      </c>
      <c r="H13" s="355">
        <v>6310.6334990999985</v>
      </c>
      <c r="I13" s="224">
        <f t="shared" si="0"/>
        <v>2.37304320362529</v>
      </c>
      <c r="J13" s="224">
        <f t="shared" si="0"/>
        <v>6.7550123512044431</v>
      </c>
      <c r="K13" s="224">
        <f t="shared" si="0"/>
        <v>9.6815957485834296</v>
      </c>
      <c r="L13" s="224">
        <f t="shared" si="0"/>
        <v>12.882393998797825</v>
      </c>
      <c r="M13" s="224">
        <f t="shared" si="0"/>
        <v>26.433369622008524</v>
      </c>
      <c r="O13" s="79"/>
    </row>
    <row r="14" spans="2:24" x14ac:dyDescent="0.2">
      <c r="B14" s="31" t="str">
        <f>Public_Comps!$Q$27&amp;" TEV / Revenue:"</f>
        <v>CY 24 TEV / Revenue:</v>
      </c>
      <c r="C14" s="223">
        <v>2.8613646079214909</v>
      </c>
      <c r="D14" s="223">
        <v>1.4362848811489413</v>
      </c>
      <c r="E14" s="223">
        <v>0.93470799452650499</v>
      </c>
      <c r="F14" s="223">
        <v>0.68636838660480504</v>
      </c>
      <c r="G14" s="223">
        <v>0.26128807877265425</v>
      </c>
      <c r="H14" s="355">
        <v>6940.9992371999979</v>
      </c>
      <c r="I14" s="224">
        <f t="shared" si="0"/>
        <v>2.4065122737390072</v>
      </c>
      <c r="J14" s="224">
        <f t="shared" si="0"/>
        <v>6.2938404587346577</v>
      </c>
      <c r="K14" s="224">
        <f t="shared" si="0"/>
        <v>8.564887927971899</v>
      </c>
      <c r="L14" s="224">
        <f t="shared" si="0"/>
        <v>13.151771705894799</v>
      </c>
      <c r="M14" s="224">
        <f t="shared" si="0"/>
        <v>26.184021108368377</v>
      </c>
      <c r="O14" s="79"/>
    </row>
    <row r="15" spans="2:24" x14ac:dyDescent="0.2">
      <c r="B15" s="31" t="str">
        <f>Public_Comps!$O$27&amp;" TEV / EBITDA:"</f>
        <v>CY 22 TEV / EBITDA:</v>
      </c>
      <c r="C15" s="223">
        <v>44.579294286226038</v>
      </c>
      <c r="D15" s="223">
        <v>12.123184485441969</v>
      </c>
      <c r="E15" s="223">
        <v>7.3815652160635219</v>
      </c>
      <c r="F15" s="223">
        <v>5.9892492850464842</v>
      </c>
      <c r="G15" s="223">
        <v>4.1514299287410932</v>
      </c>
      <c r="H15" s="355">
        <v>314.60379349999965</v>
      </c>
      <c r="I15" s="224">
        <f t="shared" si="0"/>
        <v>1.7378103614609242</v>
      </c>
      <c r="J15" s="224">
        <f t="shared" si="0"/>
        <v>2.4995823525826677</v>
      </c>
      <c r="K15" s="224">
        <f t="shared" si="0"/>
        <v>3.076694175571395</v>
      </c>
      <c r="L15" s="224">
        <f t="shared" si="0"/>
        <v>5.0420847018943942</v>
      </c>
      <c r="M15" s="224">
        <f t="shared" si="0"/>
        <v>18.495069241524416</v>
      </c>
    </row>
    <row r="16" spans="2:24" x14ac:dyDescent="0.2">
      <c r="B16" s="31" t="str">
        <f>Public_Comps!$P$27&amp;" TEV / EBITDA:"</f>
        <v>CY 23 TEV / EBITDA:</v>
      </c>
      <c r="C16" s="223">
        <v>10.650294015911447</v>
      </c>
      <c r="D16" s="223">
        <v>6.665801765336961</v>
      </c>
      <c r="E16" s="223">
        <v>5.8767236669580427</v>
      </c>
      <c r="F16" s="223">
        <v>3.6053834379112848</v>
      </c>
      <c r="G16" s="223">
        <v>2.6098717142327068</v>
      </c>
      <c r="H16" s="355">
        <v>715.08269909999899</v>
      </c>
      <c r="I16" s="224">
        <f t="shared" si="0"/>
        <v>2.4759111594673588</v>
      </c>
      <c r="J16" s="224">
        <f t="shared" si="0"/>
        <v>3.4138205275223918</v>
      </c>
      <c r="K16" s="224">
        <f t="shared" si="0"/>
        <v>5.5537363398559432</v>
      </c>
      <c r="L16" s="224">
        <f t="shared" si="0"/>
        <v>6.2971567567063929</v>
      </c>
      <c r="M16" s="224">
        <f t="shared" si="0"/>
        <v>10.051098091467702</v>
      </c>
      <c r="O16" s="69"/>
      <c r="P16" s="68"/>
      <c r="Q16" s="68"/>
      <c r="R16" s="68"/>
      <c r="S16" s="68"/>
      <c r="T16" s="68"/>
      <c r="U16" s="68"/>
      <c r="V16" s="68"/>
      <c r="W16" s="68"/>
      <c r="X16" s="68"/>
    </row>
    <row r="17" spans="2:24" x14ac:dyDescent="0.2">
      <c r="B17" s="31" t="str">
        <f>Public_Comps!$Q$27&amp;" TEV / EBITDA:"</f>
        <v>CY 24 TEV / EBITDA:</v>
      </c>
      <c r="C17" s="223">
        <v>8.5050549693387101</v>
      </c>
      <c r="D17" s="223">
        <v>5.4666254440321467</v>
      </c>
      <c r="E17" s="223">
        <v>4.3128356864053226</v>
      </c>
      <c r="F17" s="223">
        <v>2.531114246349536</v>
      </c>
      <c r="G17" s="223">
        <v>2.354134156197194</v>
      </c>
      <c r="H17" s="355">
        <v>853.71558719999894</v>
      </c>
      <c r="I17" s="224">
        <f t="shared" si="0"/>
        <v>2.6649584767100416</v>
      </c>
      <c r="J17" s="224">
        <f t="shared" si="0"/>
        <v>2.864023906996096</v>
      </c>
      <c r="K17" s="224">
        <f t="shared" si="0"/>
        <v>4.8680863120343751</v>
      </c>
      <c r="L17" s="224">
        <f t="shared" si="0"/>
        <v>6.1658574588561512</v>
      </c>
      <c r="M17" s="224">
        <f t="shared" si="0"/>
        <v>9.583452513352734</v>
      </c>
      <c r="O17" s="79"/>
    </row>
    <row r="18" spans="2:24" x14ac:dyDescent="0.2">
      <c r="B18" s="31" t="str">
        <f>Public_Comps!$O$27&amp;" P / E:"</f>
        <v>CY 22 P / E:</v>
      </c>
      <c r="C18" s="223">
        <v>52.045303131245831</v>
      </c>
      <c r="D18" s="223">
        <v>25.804504721012464</v>
      </c>
      <c r="E18" s="223">
        <v>20.602050720858383</v>
      </c>
      <c r="F18" s="223">
        <v>17.617468594168699</v>
      </c>
      <c r="G18" s="223">
        <v>10.554540411368098</v>
      </c>
      <c r="H18" s="355">
        <v>-504.72647530652222</v>
      </c>
      <c r="I18" s="224">
        <f t="shared" ref="I18:M20" si="1">MAX(0,I37/$E$39)</f>
        <v>0</v>
      </c>
      <c r="J18" s="224">
        <f t="shared" si="1"/>
        <v>0</v>
      </c>
      <c r="K18" s="224">
        <f t="shared" si="1"/>
        <v>0</v>
      </c>
      <c r="L18" s="224">
        <f t="shared" si="1"/>
        <v>0</v>
      </c>
      <c r="M18" s="224">
        <f t="shared" si="1"/>
        <v>0</v>
      </c>
      <c r="O18" s="79"/>
    </row>
    <row r="19" spans="2:24" ht="14.5" customHeight="1" x14ac:dyDescent="0.2">
      <c r="B19" s="31" t="str">
        <f>Public_Comps!$P$27&amp;" P / E:"</f>
        <v>CY 23 P / E:</v>
      </c>
      <c r="C19" s="223">
        <v>51.286045142296366</v>
      </c>
      <c r="D19" s="223">
        <v>18.241109659921072</v>
      </c>
      <c r="E19" s="223">
        <v>11.603450542596702</v>
      </c>
      <c r="F19" s="223">
        <v>9.9473074146198552</v>
      </c>
      <c r="G19" s="223">
        <v>5.7368804852865249</v>
      </c>
      <c r="H19" s="355">
        <v>111.90474520725982</v>
      </c>
      <c r="I19" s="224">
        <f t="shared" si="1"/>
        <v>0.84582891830104034</v>
      </c>
      <c r="J19" s="224">
        <f t="shared" si="1"/>
        <v>1.4666019785656406</v>
      </c>
      <c r="K19" s="224">
        <f t="shared" si="1"/>
        <v>1.7107788886618245</v>
      </c>
      <c r="L19" s="224">
        <f t="shared" si="1"/>
        <v>2.6894159799619937</v>
      </c>
      <c r="M19" s="224">
        <f t="shared" si="1"/>
        <v>7.5614648410233203</v>
      </c>
      <c r="O19" s="79"/>
    </row>
    <row r="20" spans="2:24" x14ac:dyDescent="0.2">
      <c r="B20" s="31" t="str">
        <f>Public_Comps!$Q$27&amp;" P / E:"</f>
        <v>CY 24 P / E:</v>
      </c>
      <c r="C20" s="223">
        <v>15.485780465834512</v>
      </c>
      <c r="D20" s="223">
        <v>9.6512575162487764</v>
      </c>
      <c r="E20" s="223">
        <v>8.0919825978868847</v>
      </c>
      <c r="F20" s="223">
        <v>7.0229816479382272</v>
      </c>
      <c r="G20" s="223">
        <v>1.8138519924098671</v>
      </c>
      <c r="H20" s="355">
        <v>199.93359776866927</v>
      </c>
      <c r="I20" s="224">
        <f t="shared" si="1"/>
        <v>0.47779967676202073</v>
      </c>
      <c r="J20" s="224">
        <f t="shared" si="1"/>
        <v>1.8499736336437782</v>
      </c>
      <c r="K20" s="224">
        <f t="shared" si="1"/>
        <v>2.1315667903517626</v>
      </c>
      <c r="L20" s="224">
        <f t="shared" si="1"/>
        <v>2.5423065062128183</v>
      </c>
      <c r="M20" s="224">
        <f t="shared" si="1"/>
        <v>4.0792197665218364</v>
      </c>
    </row>
    <row r="22" spans="2:24" x14ac:dyDescent="0.2">
      <c r="B22" s="225" t="s">
        <v>370</v>
      </c>
    </row>
    <row r="23" spans="2:24" x14ac:dyDescent="0.2">
      <c r="B23" s="31" t="s">
        <v>371</v>
      </c>
      <c r="C23" s="223">
        <f t="array" ref="C23:G24">TRANSPOSE(MA_Comps!I19:J23)</f>
        <v>1.9312840466926069</v>
      </c>
      <c r="D23" s="223">
        <v>0.72</v>
      </c>
      <c r="E23" s="223">
        <v>0.54</v>
      </c>
      <c r="F23" s="223">
        <v>0.33230394178592793</v>
      </c>
      <c r="G23" s="223">
        <v>0.17999999999999997</v>
      </c>
      <c r="H23" s="356">
        <f>SUM(EZJ!L94:M94)</f>
        <v>4927.673847</v>
      </c>
      <c r="I23" s="224">
        <f>MAX(0,(I41-SUM(DCF!$E$20:$E$26))/$E$39)</f>
        <v>1.1856702935144401</v>
      </c>
      <c r="J23" s="224">
        <f>MAX(0,(J41-SUM(DCF!$E$20:$E$26))/$E$39)</f>
        <v>2.1744768162200101</v>
      </c>
      <c r="K23" s="224">
        <f>MAX(0,(K41-SUM(DCF!$E$20:$E$26))/$E$39)</f>
        <v>3.5229069007871678</v>
      </c>
      <c r="L23" s="224">
        <f>MAX(0,(L41-SUM(DCF!$E$20:$E$26))/$E$39)</f>
        <v>4.6915252044235309</v>
      </c>
      <c r="M23" s="224">
        <f>MAX(0,(M41-SUM(DCF!$E$20:$E$26))/$E$39)</f>
        <v>12.555573581466332</v>
      </c>
    </row>
    <row r="24" spans="2:24" x14ac:dyDescent="0.2">
      <c r="B24" s="31" t="s">
        <v>372</v>
      </c>
      <c r="C24" s="223">
        <v>24.85</v>
      </c>
      <c r="D24" s="223">
        <v>17.145929523273274</v>
      </c>
      <c r="E24" s="223">
        <v>8.67</v>
      </c>
      <c r="F24" s="223">
        <v>6.0399999999999991</v>
      </c>
      <c r="G24" s="223">
        <v>3.5095294186706325</v>
      </c>
      <c r="H24" s="356">
        <f>SUM(EZJ!L97:M97)</f>
        <v>406.26308699999947</v>
      </c>
      <c r="I24" s="224">
        <f>MAX(0,(I42-SUM(DCF!$E$20:$E$26))/$E$39)</f>
        <v>1.8955661605585046</v>
      </c>
      <c r="J24" s="224">
        <f>MAX(0,(J42-SUM(DCF!$E$20:$E$26))/$E$39)</f>
        <v>3.2500283343840013</v>
      </c>
      <c r="K24" s="224">
        <f>MAX(0,(K42-SUM(DCF!$E$20:$E$26))/$E$39)</f>
        <v>4.6577647228029724</v>
      </c>
      <c r="L24" s="224">
        <f>MAX(0,(L42-SUM(DCF!$E$20:$E$26))/$E$39)</f>
        <v>9.1945991013529511</v>
      </c>
      <c r="M24" s="224">
        <f>MAX(0,(M42-SUM(DCF!$E$20:$E$26))/$E$39)</f>
        <v>13.318287446992684</v>
      </c>
    </row>
    <row r="26" spans="2:24" x14ac:dyDescent="0.2">
      <c r="B26" s="19" t="s">
        <v>373</v>
      </c>
      <c r="K26" s="224"/>
    </row>
    <row r="27" spans="2:24" x14ac:dyDescent="0.2">
      <c r="B27" s="31" t="str">
        <f>TEXT(DCF!E162,"0.0%")&amp;" - "&amp;TEXT(DCF!Q162,"0.0%")&amp;" Discount Rate, "&amp;TEXT(DCF!D173,"0.0%")&amp;" - "&amp;TEXT(DCF!D163,"0.0%")&amp;" Terminal FCF Growth Rate:"</f>
        <v>7.0% - 10.0% Discount Rate, 0.0% - 1.0% Terminal FCF Growth Rate:</v>
      </c>
      <c r="I27" s="226">
        <f>DCF!Q173</f>
        <v>8.6401228498470459</v>
      </c>
      <c r="J27" s="226">
        <f>DCF!N170</f>
        <v>9.7310215399598139</v>
      </c>
      <c r="K27" s="226">
        <f>DCF!K168</f>
        <v>10.997058648885336</v>
      </c>
      <c r="L27" s="226">
        <f>DCF!H165</f>
        <v>12.751315704502426</v>
      </c>
      <c r="M27" s="226">
        <f>DCF!E163</f>
        <v>14.911927877410259</v>
      </c>
    </row>
    <row r="28" spans="2:24" x14ac:dyDescent="0.2">
      <c r="B28" s="31"/>
    </row>
    <row r="29" spans="2:24" x14ac:dyDescent="0.2">
      <c r="B29" s="89" t="s">
        <v>374</v>
      </c>
      <c r="C29" s="73"/>
      <c r="D29" s="73"/>
      <c r="E29" s="353">
        <f>I31</f>
        <v>1704.0932853988656</v>
      </c>
      <c r="G29" s="227" t="s">
        <v>375</v>
      </c>
      <c r="H29" s="227"/>
      <c r="I29" s="227"/>
      <c r="J29" s="228"/>
      <c r="K29" s="228"/>
      <c r="L29" s="228"/>
      <c r="M29" s="228"/>
    </row>
    <row r="30" spans="2:24" x14ac:dyDescent="0.2">
      <c r="B30" s="83" t="s">
        <v>215</v>
      </c>
      <c r="C30" s="68"/>
      <c r="D30" s="68"/>
      <c r="E30" s="355">
        <f>-DCF!E20</f>
        <v>3505</v>
      </c>
      <c r="O30" s="69"/>
      <c r="P30" s="68"/>
      <c r="Q30" s="68"/>
      <c r="R30" s="68"/>
      <c r="S30" s="68"/>
      <c r="T30" s="68"/>
      <c r="U30" s="68"/>
      <c r="V30" s="68"/>
      <c r="W30" s="68"/>
      <c r="X30" s="68"/>
    </row>
    <row r="31" spans="2:24" x14ac:dyDescent="0.2">
      <c r="B31" s="31" t="s">
        <v>216</v>
      </c>
      <c r="E31" s="355">
        <f>-DCF!E21</f>
        <v>608.94246031746025</v>
      </c>
      <c r="G31" s="221" t="s">
        <v>376</v>
      </c>
      <c r="I31" s="286">
        <f>G12*$H12</f>
        <v>1704.0932853988656</v>
      </c>
      <c r="J31" s="286">
        <f>F12*$H12</f>
        <v>5278.7754267426335</v>
      </c>
      <c r="K31" s="286">
        <f>E12*$H12</f>
        <v>7761.6268687119309</v>
      </c>
      <c r="L31" s="286">
        <f>D12*$H12</f>
        <v>8443.9534065705629</v>
      </c>
      <c r="M31" s="286">
        <f>C12*$H12</f>
        <v>17416.831027477067</v>
      </c>
    </row>
    <row r="32" spans="2:24" x14ac:dyDescent="0.2">
      <c r="B32" s="31" t="s">
        <v>217</v>
      </c>
      <c r="E32" s="355">
        <f>-DCF!E22</f>
        <v>-3046</v>
      </c>
      <c r="G32" s="221" t="s">
        <v>376</v>
      </c>
      <c r="I32" s="265">
        <f t="shared" ref="I32:I39" si="2">G13*$H13</f>
        <v>1788.1973312341349</v>
      </c>
      <c r="J32" s="265">
        <f t="shared" ref="J32:J39" si="3">F13*$H13</f>
        <v>5114.1119142467123</v>
      </c>
      <c r="K32" s="265">
        <f t="shared" ref="K32:K39" si="4">E13*$H13</f>
        <v>7335.3887128573633</v>
      </c>
      <c r="L32" s="265">
        <f t="shared" ref="L32:L39" si="5">D13*$H13</f>
        <v>9764.7945847700885</v>
      </c>
      <c r="M32" s="265">
        <f t="shared" ref="M32:M39" si="6">C13*$H13</f>
        <v>20049.98508278701</v>
      </c>
    </row>
    <row r="33" spans="2:13" x14ac:dyDescent="0.2">
      <c r="B33" s="31" t="s">
        <v>218</v>
      </c>
      <c r="E33" s="355">
        <f>-DCF!E23</f>
        <v>0</v>
      </c>
      <c r="G33" s="221" t="s">
        <v>376</v>
      </c>
      <c r="I33" s="265">
        <f t="shared" si="2"/>
        <v>1813.6003554504462</v>
      </c>
      <c r="J33" s="265">
        <f t="shared" si="3"/>
        <v>4764.0824478621453</v>
      </c>
      <c r="K33" s="265">
        <f t="shared" si="4"/>
        <v>6487.8074770132107</v>
      </c>
      <c r="L33" s="265">
        <f t="shared" si="5"/>
        <v>9969.2522644566907</v>
      </c>
      <c r="M33" s="265">
        <f t="shared" si="6"/>
        <v>19860.729560934138</v>
      </c>
    </row>
    <row r="34" spans="2:13" x14ac:dyDescent="0.2">
      <c r="B34" s="31" t="s">
        <v>219</v>
      </c>
      <c r="E34" s="355">
        <f>-DCF!E24</f>
        <v>-1055</v>
      </c>
      <c r="G34" s="221" t="s">
        <v>376</v>
      </c>
      <c r="I34" s="265">
        <f t="shared" si="2"/>
        <v>1306.0556040313811</v>
      </c>
      <c r="J34" s="265">
        <f t="shared" si="3"/>
        <v>1884.2405452927846</v>
      </c>
      <c r="K34" s="265">
        <f t="shared" si="4"/>
        <v>2322.2684189412284</v>
      </c>
      <c r="L34" s="265">
        <f t="shared" si="5"/>
        <v>3813.9998284203848</v>
      </c>
      <c r="M34" s="265">
        <f t="shared" si="6"/>
        <v>14024.81509399957</v>
      </c>
    </row>
    <row r="35" spans="2:13" x14ac:dyDescent="0.2">
      <c r="B35" s="31" t="s">
        <v>220</v>
      </c>
      <c r="E35" s="355">
        <f>-DCF!E25</f>
        <v>0</v>
      </c>
      <c r="G35" s="221" t="s">
        <v>376</v>
      </c>
      <c r="I35" s="265">
        <f t="shared" si="2"/>
        <v>1866.2741097182652</v>
      </c>
      <c r="J35" s="265">
        <f t="shared" si="3"/>
        <v>2578.1473200720352</v>
      </c>
      <c r="K35" s="265">
        <f t="shared" si="4"/>
        <v>4202.3434216332007</v>
      </c>
      <c r="L35" s="265">
        <f t="shared" si="5"/>
        <v>4766.5995180226919</v>
      </c>
      <c r="M35" s="265">
        <f t="shared" si="6"/>
        <v>7615.8409911065255</v>
      </c>
    </row>
    <row r="36" spans="2:13" x14ac:dyDescent="0.2">
      <c r="B36" s="31" t="s">
        <v>221</v>
      </c>
      <c r="E36" s="355">
        <f>-DCF!E26</f>
        <v>0</v>
      </c>
      <c r="G36" s="221" t="s">
        <v>376</v>
      </c>
      <c r="I36" s="265">
        <f t="shared" si="2"/>
        <v>2009.7610235054615</v>
      </c>
      <c r="J36" s="265">
        <f t="shared" si="3"/>
        <v>2160.8516850925766</v>
      </c>
      <c r="K36" s="265">
        <f t="shared" si="4"/>
        <v>3681.9350505166303</v>
      </c>
      <c r="L36" s="265">
        <f t="shared" si="5"/>
        <v>4666.9433509543587</v>
      </c>
      <c r="M36" s="265">
        <f t="shared" si="6"/>
        <v>7260.8979973172654</v>
      </c>
    </row>
    <row r="37" spans="2:13" x14ac:dyDescent="0.2">
      <c r="B37" s="85" t="s">
        <v>222</v>
      </c>
      <c r="C37" s="86"/>
      <c r="D37" s="86"/>
      <c r="E37" s="354">
        <f>SUM(E29:E36)</f>
        <v>1717.0357457163254</v>
      </c>
      <c r="G37" s="221" t="s">
        <v>377</v>
      </c>
      <c r="I37" s="265">
        <f t="shared" si="2"/>
        <v>-5327.1559803100708</v>
      </c>
      <c r="J37" s="265">
        <f t="shared" si="3"/>
        <v>-8892.0028273581192</v>
      </c>
      <c r="K37" s="265">
        <f t="shared" si="4"/>
        <v>-10398.400444425048</v>
      </c>
      <c r="L37" s="265">
        <f t="shared" si="5"/>
        <v>-13024.216714867132</v>
      </c>
      <c r="M37" s="265">
        <f t="shared" si="6"/>
        <v>-26268.642405693212</v>
      </c>
    </row>
    <row r="38" spans="2:13" x14ac:dyDescent="0.2">
      <c r="G38" s="221" t="s">
        <v>377</v>
      </c>
      <c r="I38" s="265">
        <f t="shared" si="2"/>
        <v>641.98414899048964</v>
      </c>
      <c r="J38" s="265">
        <f t="shared" si="3"/>
        <v>1113.1509017313213</v>
      </c>
      <c r="K38" s="265">
        <f t="shared" si="4"/>
        <v>1298.4811764943247</v>
      </c>
      <c r="L38" s="265">
        <f t="shared" si="5"/>
        <v>2041.2667287911534</v>
      </c>
      <c r="M38" s="265">
        <f t="shared" si="6"/>
        <v>5739.1518143367002</v>
      </c>
    </row>
    <row r="39" spans="2:13" x14ac:dyDescent="0.2">
      <c r="B39" s="68" t="s">
        <v>195</v>
      </c>
      <c r="C39" s="68"/>
      <c r="D39" s="68"/>
      <c r="E39" s="229">
        <f>Diluted_Shares</f>
        <v>759</v>
      </c>
      <c r="G39" s="221" t="s">
        <v>377</v>
      </c>
      <c r="I39" s="265">
        <f t="shared" si="2"/>
        <v>362.64995466237372</v>
      </c>
      <c r="J39" s="265">
        <f t="shared" si="3"/>
        <v>1404.1299879356277</v>
      </c>
      <c r="K39" s="265">
        <f t="shared" si="4"/>
        <v>1617.8591938769878</v>
      </c>
      <c r="L39" s="265">
        <f t="shared" si="5"/>
        <v>1929.610638215529</v>
      </c>
      <c r="M39" s="265">
        <f t="shared" si="6"/>
        <v>3096.1278027900735</v>
      </c>
    </row>
    <row r="40" spans="2:13" x14ac:dyDescent="0.2">
      <c r="B40" s="68"/>
      <c r="C40" s="68"/>
      <c r="D40" s="68"/>
      <c r="E40" s="68"/>
    </row>
    <row r="41" spans="2:13" x14ac:dyDescent="0.2">
      <c r="B41" s="230" t="s">
        <v>378</v>
      </c>
      <c r="C41" s="231"/>
      <c r="D41" s="231"/>
      <c r="E41" s="272">
        <f>MAX(0,E37/E39)</f>
        <v>2.26223418407948</v>
      </c>
      <c r="G41" s="221" t="s">
        <v>376</v>
      </c>
      <c r="I41" s="265">
        <f>G23*$H23</f>
        <v>886.98129245999985</v>
      </c>
      <c r="J41" s="265">
        <f>F23*$H23</f>
        <v>1637.4854431935275</v>
      </c>
      <c r="K41" s="265">
        <f>E23*$H23</f>
        <v>2660.9438773800002</v>
      </c>
      <c r="L41" s="265">
        <f>D23*$H23</f>
        <v>3547.9251698399999</v>
      </c>
      <c r="M41" s="265">
        <f>C23*$H23</f>
        <v>9516.7378880154865</v>
      </c>
    </row>
    <row r="42" spans="2:13" x14ac:dyDescent="0.2">
      <c r="B42" s="232" t="s">
        <v>224</v>
      </c>
      <c r="C42" s="233"/>
      <c r="D42" s="233"/>
      <c r="E42" s="234">
        <f>E41/Share_Price-1</f>
        <v>-0.50072077155606265</v>
      </c>
      <c r="G42" s="221" t="s">
        <v>376</v>
      </c>
      <c r="I42" s="265">
        <f t="shared" ref="I42" si="7">G24*$H24</f>
        <v>1425.7922555464447</v>
      </c>
      <c r="J42" s="265">
        <f t="shared" ref="J42" si="8">F24*$H24</f>
        <v>2453.8290454799967</v>
      </c>
      <c r="K42" s="265">
        <f t="shared" ref="K42" si="9">E24*$H24</f>
        <v>3522.3009642899956</v>
      </c>
      <c r="L42" s="265">
        <f t="shared" ref="L42" si="10">D24*$H24</f>
        <v>6965.7582576094301</v>
      </c>
      <c r="M42" s="265">
        <f t="shared" ref="M42" si="11">C24*$H24</f>
        <v>10095.637711949987</v>
      </c>
    </row>
    <row r="43" spans="2:13" x14ac:dyDescent="0.2">
      <c r="G43" s="221"/>
    </row>
    <row r="46" spans="2:13" x14ac:dyDescent="0.2">
      <c r="B46" s="235"/>
      <c r="C46" s="235"/>
      <c r="D46" s="235"/>
      <c r="E46" s="235"/>
      <c r="G46" s="221"/>
    </row>
  </sheetData>
  <pageMargins left="0.7" right="0.7" top="0.75" bottom="0.75" header="0.3" footer="0.3"/>
  <pageSetup scale="4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0B33-F8DA-42C4-97B3-D1123B9329BE}">
  <sheetPr>
    <pageSetUpPr autoPageBreaks="0"/>
  </sheetPr>
  <dimension ref="B2:W46"/>
  <sheetViews>
    <sheetView showGridLines="0" topLeftCell="A13" zoomScaleNormal="100" workbookViewId="0"/>
  </sheetViews>
  <sheetFormatPr baseColWidth="10" defaultColWidth="8.83203125" defaultRowHeight="16" x14ac:dyDescent="0.2"/>
  <cols>
    <col min="1" max="1" width="3.33203125" style="236" bestFit="1" customWidth="1"/>
    <col min="2" max="8" width="8.83203125" style="236"/>
    <col min="9" max="12" width="9.5" style="236" bestFit="1" customWidth="1"/>
    <col min="13" max="13" width="9.6640625" style="236" bestFit="1" customWidth="1"/>
    <col min="14" max="14" width="10.5" style="236" bestFit="1" customWidth="1"/>
    <col min="15" max="18" width="9" style="236" bestFit="1" customWidth="1"/>
    <col min="19" max="19" width="8.83203125" style="236"/>
    <col min="20" max="20" width="2.6640625" style="236" customWidth="1"/>
    <col min="21" max="16384" width="8.83203125" style="236"/>
  </cols>
  <sheetData>
    <row r="2" spans="23:23" x14ac:dyDescent="0.2">
      <c r="W2" s="236" t="str">
        <f>Company_Name&amp;" Valuation - Range of Implied Share Prices"</f>
        <v>easyJet plc Valuation - Range of Implied Share Prices</v>
      </c>
    </row>
    <row r="32" spans="9:18" x14ac:dyDescent="0.2">
      <c r="I32" s="236" t="s">
        <v>379</v>
      </c>
      <c r="J32" s="236" t="s">
        <v>362</v>
      </c>
      <c r="K32" s="236" t="s">
        <v>330</v>
      </c>
      <c r="L32" s="236" t="s">
        <v>361</v>
      </c>
      <c r="M32" s="236" t="s">
        <v>380</v>
      </c>
      <c r="N32" s="236" t="s">
        <v>381</v>
      </c>
      <c r="O32" s="236" t="s">
        <v>382</v>
      </c>
      <c r="P32" s="236" t="s">
        <v>383</v>
      </c>
      <c r="Q32" s="236" t="s">
        <v>384</v>
      </c>
      <c r="R32" s="236" t="s">
        <v>385</v>
      </c>
    </row>
    <row r="33" spans="2:18" x14ac:dyDescent="0.2">
      <c r="I33" s="237"/>
      <c r="J33" s="237"/>
      <c r="K33" s="237"/>
      <c r="L33" s="237"/>
      <c r="M33" s="237"/>
      <c r="N33" s="237"/>
      <c r="O33" s="237"/>
      <c r="P33" s="237"/>
      <c r="Q33" s="237"/>
      <c r="R33" s="237"/>
    </row>
    <row r="34" spans="2:18" x14ac:dyDescent="0.2">
      <c r="B34" s="238" t="str">
        <f>ValSum!B27</f>
        <v>7.0% - 10.0% Discount Rate, 0.0% - 1.0% Terminal FCF Growth Rate:</v>
      </c>
      <c r="I34" s="358">
        <f>ValSum!I27</f>
        <v>8.6401228498470459</v>
      </c>
      <c r="J34" s="358">
        <f>ValSum!J27</f>
        <v>9.7310215399598139</v>
      </c>
      <c r="K34" s="358">
        <f>ValSum!K27</f>
        <v>10.997058648885336</v>
      </c>
      <c r="L34" s="358">
        <f>ValSum!L27</f>
        <v>12.751315704502426</v>
      </c>
      <c r="M34" s="358">
        <f>ValSum!M27</f>
        <v>14.911927877410259</v>
      </c>
      <c r="N34" s="357">
        <f>I34</f>
        <v>8.6401228498470459</v>
      </c>
      <c r="O34" s="357">
        <f>J34-I34</f>
        <v>1.090898690112768</v>
      </c>
      <c r="P34" s="357">
        <f t="shared" ref="P34:R34" si="0">K34-J34</f>
        <v>1.2660371089255218</v>
      </c>
      <c r="Q34" s="357">
        <f t="shared" si="0"/>
        <v>1.7542570556170904</v>
      </c>
      <c r="R34" s="357">
        <f t="shared" si="0"/>
        <v>2.1606121729078325</v>
      </c>
    </row>
    <row r="35" spans="2:18" x14ac:dyDescent="0.2">
      <c r="B35" s="238" t="str">
        <f>ValSum!B24</f>
        <v>NTM TEV / EBITDA:</v>
      </c>
      <c r="I35" s="239">
        <f>ValSum!I24</f>
        <v>1.8955661605585046</v>
      </c>
      <c r="J35" s="358">
        <f>ValSum!J24</f>
        <v>3.2500283343840013</v>
      </c>
      <c r="K35" s="239">
        <f>ValSum!K24</f>
        <v>4.6577647228029724</v>
      </c>
      <c r="L35" s="358">
        <f>ValSum!L24</f>
        <v>9.1945991013529511</v>
      </c>
      <c r="M35" s="239">
        <f>ValSum!M24</f>
        <v>13.318287446992684</v>
      </c>
      <c r="N35" s="240">
        <f t="shared" ref="N35:N36" si="1">I35</f>
        <v>1.8955661605585046</v>
      </c>
      <c r="O35" s="240">
        <f t="shared" ref="O35:R36" si="2">J35-I35</f>
        <v>1.3544621738254967</v>
      </c>
      <c r="P35" s="240">
        <f t="shared" si="2"/>
        <v>1.4077363884189711</v>
      </c>
      <c r="Q35" s="240">
        <f t="shared" si="2"/>
        <v>4.5368343785499787</v>
      </c>
      <c r="R35" s="240">
        <f t="shared" si="2"/>
        <v>4.1236883456397333</v>
      </c>
    </row>
    <row r="36" spans="2:18" x14ac:dyDescent="0.2">
      <c r="B36" s="238" t="str">
        <f>ValSum!B23</f>
        <v>NTM TEV / Revenue:</v>
      </c>
      <c r="I36" s="239">
        <f>ValSum!I23</f>
        <v>1.1856702935144401</v>
      </c>
      <c r="J36" s="358">
        <f>ValSum!J23</f>
        <v>2.1744768162200101</v>
      </c>
      <c r="K36" s="239">
        <f>ValSum!K23</f>
        <v>3.5229069007871678</v>
      </c>
      <c r="L36" s="358">
        <f>ValSum!L23</f>
        <v>4.6915252044235309</v>
      </c>
      <c r="M36" s="239">
        <f>ValSum!M23</f>
        <v>12.555573581466332</v>
      </c>
      <c r="N36" s="240">
        <f t="shared" si="1"/>
        <v>1.1856702935144401</v>
      </c>
      <c r="O36" s="240">
        <f t="shared" si="2"/>
        <v>0.98880652270557001</v>
      </c>
      <c r="P36" s="240">
        <f t="shared" si="2"/>
        <v>1.3484300845671577</v>
      </c>
      <c r="Q36" s="240">
        <f t="shared" si="2"/>
        <v>1.1686183036363631</v>
      </c>
      <c r="R36" s="240">
        <f t="shared" si="2"/>
        <v>7.8640483770428009</v>
      </c>
    </row>
    <row r="37" spans="2:18" x14ac:dyDescent="0.2">
      <c r="B37" s="238" t="str">
        <f>ValSum!B20</f>
        <v>CY 24 P / E:</v>
      </c>
      <c r="I37" s="239">
        <f>ValSum!I20</f>
        <v>0.47779967676202073</v>
      </c>
      <c r="J37" s="358">
        <f>ValSum!J20</f>
        <v>1.8499736336437782</v>
      </c>
      <c r="K37" s="239">
        <f>ValSum!K20</f>
        <v>2.1315667903517626</v>
      </c>
      <c r="L37" s="358">
        <f>ValSum!L20</f>
        <v>2.5423065062128183</v>
      </c>
      <c r="M37" s="239">
        <f>ValSum!M20</f>
        <v>4.0792197665218364</v>
      </c>
      <c r="N37" s="240">
        <f t="shared" ref="N37:N45" si="3">I37</f>
        <v>0.47779967676202073</v>
      </c>
      <c r="O37" s="240">
        <f t="shared" ref="O37:R45" si="4">J37-I37</f>
        <v>1.3721739568817575</v>
      </c>
      <c r="P37" s="240">
        <f t="shared" si="4"/>
        <v>0.28159315670798435</v>
      </c>
      <c r="Q37" s="240">
        <f t="shared" si="4"/>
        <v>0.41073971586105573</v>
      </c>
      <c r="R37" s="240">
        <f t="shared" si="4"/>
        <v>1.5369132603090181</v>
      </c>
    </row>
    <row r="38" spans="2:18" x14ac:dyDescent="0.2">
      <c r="B38" s="238" t="str">
        <f>ValSum!B19</f>
        <v>CY 23 P / E:</v>
      </c>
      <c r="I38" s="239">
        <f>ValSum!I19</f>
        <v>0.84582891830104034</v>
      </c>
      <c r="J38" s="358">
        <f>ValSum!J19</f>
        <v>1.4666019785656406</v>
      </c>
      <c r="K38" s="239">
        <f>ValSum!K19</f>
        <v>1.7107788886618245</v>
      </c>
      <c r="L38" s="358">
        <f>ValSum!L19</f>
        <v>2.6894159799619937</v>
      </c>
      <c r="M38" s="239">
        <f>ValSum!M19</f>
        <v>7.5614648410233203</v>
      </c>
      <c r="N38" s="240">
        <f t="shared" si="3"/>
        <v>0.84582891830104034</v>
      </c>
      <c r="O38" s="240">
        <f t="shared" si="4"/>
        <v>0.62077306026460022</v>
      </c>
      <c r="P38" s="240">
        <f t="shared" si="4"/>
        <v>0.24417691009618392</v>
      </c>
      <c r="Q38" s="240">
        <f t="shared" si="4"/>
        <v>0.97863709130016918</v>
      </c>
      <c r="R38" s="240">
        <f t="shared" si="4"/>
        <v>4.8720488610613266</v>
      </c>
    </row>
    <row r="39" spans="2:18" x14ac:dyDescent="0.2">
      <c r="B39" s="238" t="str">
        <f>ValSum!B18</f>
        <v>CY 22 P / E:</v>
      </c>
      <c r="I39" s="239">
        <f>ValSum!I18</f>
        <v>0</v>
      </c>
      <c r="J39" s="358">
        <f>ValSum!J18</f>
        <v>0</v>
      </c>
      <c r="K39" s="239">
        <f>ValSum!K18</f>
        <v>0</v>
      </c>
      <c r="L39" s="358">
        <f>ValSum!L18</f>
        <v>0</v>
      </c>
      <c r="M39" s="239">
        <f>ValSum!M18</f>
        <v>0</v>
      </c>
      <c r="N39" s="240">
        <f t="shared" si="3"/>
        <v>0</v>
      </c>
      <c r="O39" s="240">
        <f t="shared" si="4"/>
        <v>0</v>
      </c>
      <c r="P39" s="240">
        <f t="shared" si="4"/>
        <v>0</v>
      </c>
      <c r="Q39" s="240">
        <f t="shared" si="4"/>
        <v>0</v>
      </c>
      <c r="R39" s="240">
        <f t="shared" si="4"/>
        <v>0</v>
      </c>
    </row>
    <row r="40" spans="2:18" x14ac:dyDescent="0.2">
      <c r="B40" s="238" t="str">
        <f>ValSum!B17</f>
        <v>CY 24 TEV / EBITDA:</v>
      </c>
      <c r="I40" s="239">
        <f>ValSum!I17</f>
        <v>2.6649584767100416</v>
      </c>
      <c r="J40" s="358">
        <f>ValSum!J17</f>
        <v>2.864023906996096</v>
      </c>
      <c r="K40" s="239">
        <f>ValSum!K17</f>
        <v>4.8680863120343751</v>
      </c>
      <c r="L40" s="358">
        <f>ValSum!L17</f>
        <v>6.1658574588561512</v>
      </c>
      <c r="M40" s="239">
        <f>ValSum!M17</f>
        <v>9.583452513352734</v>
      </c>
      <c r="N40" s="240">
        <f t="shared" si="3"/>
        <v>2.6649584767100416</v>
      </c>
      <c r="O40" s="240">
        <f t="shared" si="4"/>
        <v>0.19906543028605439</v>
      </c>
      <c r="P40" s="240">
        <f t="shared" si="4"/>
        <v>2.0040624050382791</v>
      </c>
      <c r="Q40" s="240">
        <f t="shared" si="4"/>
        <v>1.2977711468217761</v>
      </c>
      <c r="R40" s="240">
        <f t="shared" si="4"/>
        <v>3.4175950544965827</v>
      </c>
    </row>
    <row r="41" spans="2:18" x14ac:dyDescent="0.2">
      <c r="B41" s="238" t="str">
        <f>ValSum!B16</f>
        <v>CY 23 TEV / EBITDA:</v>
      </c>
      <c r="I41" s="239">
        <f>ValSum!I16</f>
        <v>2.4759111594673588</v>
      </c>
      <c r="J41" s="358">
        <f>ValSum!J16</f>
        <v>3.4138205275223918</v>
      </c>
      <c r="K41" s="239">
        <f>ValSum!K16</f>
        <v>5.5537363398559432</v>
      </c>
      <c r="L41" s="358">
        <f>ValSum!L16</f>
        <v>6.2971567567063929</v>
      </c>
      <c r="M41" s="239">
        <f>ValSum!M16</f>
        <v>10.051098091467702</v>
      </c>
      <c r="N41" s="240">
        <f t="shared" si="3"/>
        <v>2.4759111594673588</v>
      </c>
      <c r="O41" s="240">
        <f t="shared" si="4"/>
        <v>0.937909368055033</v>
      </c>
      <c r="P41" s="240">
        <f t="shared" si="4"/>
        <v>2.1399158123335513</v>
      </c>
      <c r="Q41" s="240">
        <f t="shared" si="4"/>
        <v>0.74342041685044968</v>
      </c>
      <c r="R41" s="240">
        <f t="shared" si="4"/>
        <v>3.7539413347613095</v>
      </c>
    </row>
    <row r="42" spans="2:18" x14ac:dyDescent="0.2">
      <c r="B42" s="238" t="str">
        <f>ValSum!B15</f>
        <v>CY 22 TEV / EBITDA:</v>
      </c>
      <c r="I42" s="239">
        <f>ValSum!I15</f>
        <v>1.7378103614609242</v>
      </c>
      <c r="J42" s="358">
        <f>ValSum!J15</f>
        <v>2.4995823525826677</v>
      </c>
      <c r="K42" s="239">
        <f>ValSum!K15</f>
        <v>3.076694175571395</v>
      </c>
      <c r="L42" s="358">
        <f>ValSum!L15</f>
        <v>5.0420847018943942</v>
      </c>
      <c r="M42" s="239">
        <f>ValSum!M15</f>
        <v>18.495069241524416</v>
      </c>
      <c r="N42" s="240">
        <f t="shared" si="3"/>
        <v>1.7378103614609242</v>
      </c>
      <c r="O42" s="240">
        <f t="shared" si="4"/>
        <v>0.76177199112174354</v>
      </c>
      <c r="P42" s="240">
        <f t="shared" si="4"/>
        <v>0.57711182298872732</v>
      </c>
      <c r="Q42" s="240">
        <f t="shared" si="4"/>
        <v>1.9653905263229992</v>
      </c>
      <c r="R42" s="240">
        <f t="shared" si="4"/>
        <v>13.452984539630021</v>
      </c>
    </row>
    <row r="43" spans="2:18" x14ac:dyDescent="0.2">
      <c r="B43" s="238" t="str">
        <f>ValSum!B14</f>
        <v>CY 24 TEV / Revenue:</v>
      </c>
      <c r="I43" s="239">
        <f>ValSum!I14</f>
        <v>2.4065122737390072</v>
      </c>
      <c r="J43" s="358">
        <f>ValSum!J14</f>
        <v>6.2938404587346577</v>
      </c>
      <c r="K43" s="239">
        <f>ValSum!K14</f>
        <v>8.564887927971899</v>
      </c>
      <c r="L43" s="358">
        <f>ValSum!L14</f>
        <v>13.151771705894799</v>
      </c>
      <c r="M43" s="239">
        <f>ValSum!M14</f>
        <v>26.184021108368377</v>
      </c>
      <c r="N43" s="240">
        <f t="shared" si="3"/>
        <v>2.4065122737390072</v>
      </c>
      <c r="O43" s="240">
        <f t="shared" si="4"/>
        <v>3.8873281849956505</v>
      </c>
      <c r="P43" s="240">
        <f t="shared" si="4"/>
        <v>2.2710474692372413</v>
      </c>
      <c r="Q43" s="240">
        <f t="shared" si="4"/>
        <v>4.5868837779228997</v>
      </c>
      <c r="R43" s="240">
        <f t="shared" si="4"/>
        <v>13.032249402473578</v>
      </c>
    </row>
    <row r="44" spans="2:18" x14ac:dyDescent="0.2">
      <c r="B44" s="238" t="str">
        <f>ValSum!B13</f>
        <v>CY 23 TEV / Revenue:</v>
      </c>
      <c r="I44" s="239">
        <f>ValSum!I13</f>
        <v>2.37304320362529</v>
      </c>
      <c r="J44" s="358">
        <f>ValSum!J13</f>
        <v>6.7550123512044431</v>
      </c>
      <c r="K44" s="239">
        <f>ValSum!K13</f>
        <v>9.6815957485834296</v>
      </c>
      <c r="L44" s="358">
        <f>ValSum!L13</f>
        <v>12.882393998797825</v>
      </c>
      <c r="M44" s="239">
        <f>ValSum!M13</f>
        <v>26.433369622008524</v>
      </c>
      <c r="N44" s="240">
        <f t="shared" si="3"/>
        <v>2.37304320362529</v>
      </c>
      <c r="O44" s="240">
        <f t="shared" si="4"/>
        <v>4.3819691475791531</v>
      </c>
      <c r="P44" s="240">
        <f t="shared" si="4"/>
        <v>2.9265833973789865</v>
      </c>
      <c r="Q44" s="240">
        <f t="shared" si="4"/>
        <v>3.2007982502143957</v>
      </c>
      <c r="R44" s="240">
        <f t="shared" si="4"/>
        <v>13.550975623210698</v>
      </c>
    </row>
    <row r="45" spans="2:18" x14ac:dyDescent="0.2">
      <c r="B45" s="238" t="str">
        <f>ValSum!B12</f>
        <v>CY 22 TEV / Revenue:</v>
      </c>
      <c r="I45" s="239">
        <f>ValSum!I12</f>
        <v>2.2622341840794808</v>
      </c>
      <c r="J45" s="358">
        <f>ValSum!J12</f>
        <v>6.9719603255073697</v>
      </c>
      <c r="K45" s="239">
        <f>ValSum!K12</f>
        <v>10.243174346547287</v>
      </c>
      <c r="L45" s="358">
        <f>ValSum!L12</f>
        <v>11.142155292342585</v>
      </c>
      <c r="M45" s="239">
        <f>ValSum!M12</f>
        <v>22.964128442417032</v>
      </c>
      <c r="N45" s="240">
        <f t="shared" si="3"/>
        <v>2.2622341840794808</v>
      </c>
      <c r="O45" s="240">
        <f t="shared" si="4"/>
        <v>4.7097261414278888</v>
      </c>
      <c r="P45" s="240">
        <f t="shared" si="4"/>
        <v>3.271214021039917</v>
      </c>
      <c r="Q45" s="240">
        <f t="shared" si="4"/>
        <v>0.89898094579529797</v>
      </c>
      <c r="R45" s="240">
        <f t="shared" si="4"/>
        <v>11.821973150074447</v>
      </c>
    </row>
    <row r="46" spans="2:18" x14ac:dyDescent="0.2">
      <c r="B46" s="236" t="s">
        <v>386</v>
      </c>
      <c r="I46" s="239">
        <f>Share_Price</f>
        <v>4.5309999999999997</v>
      </c>
      <c r="J46" s="358">
        <f>Share_Price</f>
        <v>4.5309999999999997</v>
      </c>
      <c r="K46" s="239">
        <f>Share_Price</f>
        <v>4.5309999999999997</v>
      </c>
      <c r="L46" s="358">
        <f>Share_Price</f>
        <v>4.5309999999999997</v>
      </c>
      <c r="M46" s="239">
        <f>Share_Price</f>
        <v>4.5309999999999997</v>
      </c>
      <c r="N46" s="241">
        <v>1000</v>
      </c>
      <c r="O46" s="241">
        <v>0</v>
      </c>
      <c r="P46" s="240">
        <f>O46</f>
        <v>0</v>
      </c>
      <c r="Q46" s="240">
        <f t="shared" ref="Q46:R46" si="5">P46</f>
        <v>0</v>
      </c>
      <c r="R46" s="240">
        <f t="shared" si="5"/>
        <v>0</v>
      </c>
    </row>
  </sheetData>
  <pageMargins left="0.7" right="0.7" top="0.75" bottom="0.75" header="0.3" footer="0.3"/>
  <pageSetup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32</vt:i4>
      </vt:variant>
    </vt:vector>
  </HeadingPairs>
  <TitlesOfParts>
    <vt:vector size="40" baseType="lpstr">
      <vt:lpstr>EZJ</vt:lpstr>
      <vt:lpstr>DCF</vt:lpstr>
      <vt:lpstr>Graphs</vt:lpstr>
      <vt:lpstr>WACC</vt:lpstr>
      <vt:lpstr>Public_Comps</vt:lpstr>
      <vt:lpstr>MA_Comps</vt:lpstr>
      <vt:lpstr>ValSum</vt:lpstr>
      <vt:lpstr>ValGraph</vt:lpstr>
      <vt:lpstr>_</vt:lpstr>
      <vt:lpstr>Company_Name</vt:lpstr>
      <vt:lpstr>Cost_of_Debt</vt:lpstr>
      <vt:lpstr>Cost_of_Preferred</vt:lpstr>
      <vt:lpstr>Diluted_Shares</vt:lpstr>
      <vt:lpstr>Discount_Rate</vt:lpstr>
      <vt:lpstr>Equity_Risk_Premium</vt:lpstr>
      <vt:lpstr>Hist_Year</vt:lpstr>
      <vt:lpstr>Max_Debt_EBITDAR</vt:lpstr>
      <vt:lpstr>Max_Debt_Total_Cap</vt:lpstr>
      <vt:lpstr>Next_Year</vt:lpstr>
      <vt:lpstr>Pct_Debt_Funding</vt:lpstr>
      <vt:lpstr>DCF!Print_Area</vt:lpstr>
      <vt:lpstr>EZJ!Print_Area</vt:lpstr>
      <vt:lpstr>Graphs!Print_Area</vt:lpstr>
      <vt:lpstr>MA_Comps!Print_Area</vt:lpstr>
      <vt:lpstr>Public_Comps!Print_Area</vt:lpstr>
      <vt:lpstr>ValGraph!Print_Area</vt:lpstr>
      <vt:lpstr>ValSum!Print_Area</vt:lpstr>
      <vt:lpstr>WACC!Print_Area</vt:lpstr>
      <vt:lpstr>Pub_Comps_Data</vt:lpstr>
      <vt:lpstr>Pub_Comps_Info_Range</vt:lpstr>
      <vt:lpstr>Risk_Free_Rate</vt:lpstr>
      <vt:lpstr>Scenario</vt:lpstr>
      <vt:lpstr>Share_Price</vt:lpstr>
      <vt:lpstr>Stub_Period</vt:lpstr>
      <vt:lpstr>Tax_Rate</vt:lpstr>
      <vt:lpstr>Ticker</vt:lpstr>
      <vt:lpstr>Ticker_Range</vt:lpstr>
      <vt:lpstr>Units</vt:lpstr>
      <vt:lpstr>Val_Date</vt:lpstr>
      <vt:lpstr>Valuation_Date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BIWS</dc:creator>
  <cp:keywords/>
  <dc:description/>
  <cp:lastModifiedBy>Tomasz Osuchowski</cp:lastModifiedBy>
  <cp:revision/>
  <dcterms:created xsi:type="dcterms:W3CDTF">2022-08-13T20:19:13Z</dcterms:created>
  <dcterms:modified xsi:type="dcterms:W3CDTF">2025-04-18T21:00:03Z</dcterms:modified>
  <cp:category/>
  <cp:contentStatus/>
</cp:coreProperties>
</file>